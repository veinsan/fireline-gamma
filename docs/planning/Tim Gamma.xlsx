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 Team Task" sheetId="1" r:id="rId5"/>
    <sheet state="visible" name="01. Berita" sheetId="2" r:id="rId6"/>
    <sheet state="visible" name="02. MVP" sheetId="3" r:id="rId7"/>
    <sheet state="visible" name="03. Prioritization" sheetId="4" r:id="rId8"/>
    <sheet state="visible" name="Coretan" sheetId="5" r:id="rId9"/>
    <sheet state="visible" name="Competitor Analysis" sheetId="6" r:id="rId10"/>
    <sheet state="visible" name="Calon Solusi" sheetId="7" r:id="rId11"/>
    <sheet state="visible" name="Team" sheetId="8" r:id="rId12"/>
  </sheets>
  <definedNames/>
  <calcPr/>
</workbook>
</file>

<file path=xl/sharedStrings.xml><?xml version="1.0" encoding="utf-8"?>
<sst xmlns="http://schemas.openxmlformats.org/spreadsheetml/2006/main" count="393" uniqueCount="272">
  <si>
    <t>No</t>
  </si>
  <si>
    <t>Nama Fitur</t>
  </si>
  <si>
    <t>Task</t>
  </si>
  <si>
    <t>Judul</t>
  </si>
  <si>
    <t>Link Akses</t>
  </si>
  <si>
    <t>Divisi Penanggung Jawab</t>
  </si>
  <si>
    <t>Kategori Progress</t>
  </si>
  <si>
    <t>Reach (1-10)</t>
  </si>
  <si>
    <t>Ringkasan</t>
  </si>
  <si>
    <t xml:space="preserve">PIC </t>
  </si>
  <si>
    <t>Penjelasan &amp; Cara Kerja Fitur</t>
  </si>
  <si>
    <t>Impact (0.5-3)</t>
  </si>
  <si>
    <t>Masalah yang Diselesaikan (5 Whys)</t>
  </si>
  <si>
    <t>Confidence (%)</t>
  </si>
  <si>
    <t>Effort (Weeks)</t>
  </si>
  <si>
    <t>Sprint</t>
  </si>
  <si>
    <t>Skor RICE</t>
  </si>
  <si>
    <t>Kategori MoSCoW</t>
  </si>
  <si>
    <t>Start Date</t>
  </si>
  <si>
    <t>Stage Progress</t>
  </si>
  <si>
    <t>Kemenkes: 5,5 Juta Masyarakat Kalimantan dan Sumatera Terdampak Karhutla, 13.500 Kena ISPA</t>
  </si>
  <si>
    <t>Deadline</t>
  </si>
  <si>
    <t>Location-Based Risk Engine &amp; Radar</t>
  </si>
  <si>
    <t>H-1 Predictive Alert</t>
  </si>
  <si>
    <t>https://nasional.kompas.com/read/2026/08/28/17031171/kemenkes-55-juta-masyarakat-kalimantan-dan-sumatera-terdampak-karhutla-13500#:~:text=Robertus%20Belarminus.%20Editor.%20Add%20on%20Google%20Jadikan,terdampak%20akibat%20kebakaran%20hutan%20dan%20lahan%20(karhutla).</t>
  </si>
  <si>
    <t>MVP (Core Process 1)</t>
  </si>
  <si>
    <t>Template Document</t>
  </si>
  <si>
    <t>Notifikasi peringatan dini otomatis ke HP user 1 hari sebelum model HGB memproyeksikan lonjakan hotspot harian di wilayahnya.</t>
  </si>
  <si>
    <t>Output</t>
  </si>
  <si>
    <t>Mengatasi ketidaktahuan warga akan bahaya lonjakan karhutla sebelum api membesar di sekitar mereka.</t>
  </si>
  <si>
    <t>Status</t>
  </si>
  <si>
    <t>Column 1</t>
  </si>
  <si>
    <t>90% (0.9)</t>
  </si>
  <si>
    <t>Must Have</t>
  </si>
  <si>
    <t>MVP (Core Process 2)</t>
  </si>
  <si>
    <t>Dokumen pembagian Tugas</t>
  </si>
  <si>
    <t>Menampilkan status risiko lokal user secara presisi: jarak hotspot terdekat (misal: 2,1 km) dan jumlah sekolah/fasilitas vital terdampak dalam radius &lt;5 km.</t>
  </si>
  <si>
    <t>PMA</t>
  </si>
  <si>
    <t>Menjawab kebutuhan relevansi risiko lokal dan mengatasi data mentah FRP yang tidak memperhitungkan 75,7% hotspot dekat sekolah.</t>
  </si>
  <si>
    <t>- Dampak Populasi Luas: Kebakaran hutan dan lahan (karhutla) di wilayah Kalimantan dan Sumatera berdampak langsung pada populasi sekitar 5,5 juta jiwa.
- Lonjakan Kasus ISPA: Kumulatif penderita Infeksi Saluran Pernapasan Akut (ISPA) dari periode Juli hingga Agustus mencapai sekitar 13.500 orang.
- Kondisi Kasus Aktif: Hingga Kamis (27/8/2026), tercatat sebanyak 4.082 orang masih berstatus positif ISPA, sementara sisanya telah dinyatakan sembuh setelah mendapatkan penanganan kesehatan.
- Penyebab Peningkatan Kasus: Wakil Menteri Kesehatan (Wamenkes) Dante Saksono Harbuwono menegaskan bahwa lonjakan kasus ISPA tahun ini dibandingkan tahun sebelumnya disebabkan oleh skala kebakaran hutan yang lebih besar, bukan akibat keterlambatan penanganan medis dari pihak Kemenkes.</t>
  </si>
  <si>
    <t>Action Recommendation System</t>
  </si>
  <si>
    <t>MVP (Core Process 3)</t>
  </si>
  <si>
    <t>Kemenkes Perkuat Perlindungan Kelompok Rentan Hadapi Karhutla</t>
  </si>
  <si>
    <t>Panduan langkah aksi cepat yang disesuaikan dengan risk tier user (contoh: High Risk == Kurangi aktivitas luar ruangan, siapkan masker &amp; kebutuhan darurat).</t>
  </si>
  <si>
    <t>Memandu masyarakat menentukan tindakan perlindungan diri yang tepat dan tidak terlambat mengambil keputusan.</t>
  </si>
  <si>
    <t>Crowdsourced Lapor Api</t>
  </si>
  <si>
    <t>80% (0.8)</t>
  </si>
  <si>
    <t>Next Progress (Phase 2)</t>
  </si>
  <si>
    <t>Fitur warga mengunggah foto, deskripsi asap, dan koordinat GPS secara real-time dari HP mereka.</t>
  </si>
  <si>
    <t>Checkpoint 1</t>
  </si>
  <si>
    <t>Memangkas blind spot / jeda waktu pantauan satelit yang hanya lewat 2 kali sehari (jeda 12 jam).</t>
  </si>
  <si>
    <t>Local Air Quality &amp; Smoke Tracker</t>
  </si>
  <si>
    <t>Peta interaktif sebaran arah pergerakan asap dan Indikator Standar Pencemar Udara (ISPU) di tingkat kecamatan.</t>
  </si>
  <si>
    <t>https://www.kemkes.go.id/id/kemenkes-perkuat-perlindungan-kelompok-rentan-hadapi-karhutla</t>
  </si>
  <si>
    <t>Memberikan gambaran dampak asap pekat terhadap kesehatan masyarakat secara real-time.</t>
  </si>
  <si>
    <t>Dampak kesehatan akibat Kebakaran Hutan dan Lahan (Karhutla) memerlukan pendekatan mitigasi yang komprehensif karena paparan polutan halus seperti partikel PM2,5 dan gas beracun secara langsung merusak sistem pernapasan serta meningkatkan risiko penyakit kardiovaskular, terutama pada kelompok rentan seperti anak-anak, lansia, dan ibu hamil. Penguatan fasilitas kesehatan melalui skema perlindungan tiga tingkat—primer, sekunder, dan tersier—menjadi kunci utama dalam menekan angka morbiditas, di mana pembatasan aktivitas luar ruangan serta penggunaan masker N95 berfungsi sebagai pencegahan awal, sementara penyediaan Rumah Oksigen kedap asap dan sistem rujukan cepat memastikan penanganan darurat bagi kasus yang memburuk. Selain itu, integrasi data pemantauan tren penyakit secara real-time dengan kesiapsiagaan logistik yang terdistribusi sejak dini terbukti sangat vital untuk memitigasi lonjakan kasus ISPA di wilayah-wilayah dengan ancaman krisis ekologis yang tinggi.</t>
  </si>
  <si>
    <t>200.000 Lahan &amp; Hutan RI Terbakar Tahun Ini, Terburuk Sejak Kapan?</t>
  </si>
  <si>
    <t>https://www.cnbcindonesia.com/research/20260824093442-128-761828/200000-lahan-hutan-ri-terbakar-tahun-ini-terburuk-sejak-kapan</t>
  </si>
  <si>
    <t>Simplified Risk Tiering Display</t>
  </si>
  <si>
    <t>Antarmuka visual yang menerjemahkan risk score rumit menjadi 4 label warna sederhana (Kritis, Tinggi, Sedang, Rendah).</t>
  </si>
  <si>
    <t>Memudahkan warga awam memahami tingkat bahaya tanpa perlu membaca grafik atau angka FRP satelit mentah.</t>
  </si>
  <si>
    <t>Transparent Response Status</t>
  </si>
  <si>
    <t>Berdasarkan data karhutla tahun 2026, lonjakan kebakaran hutan dan lahan di Indonesia terjadi sangat drastis pada bulan Juli, di mana luas area terbakar hampir dua kali lipat hanya dalam waktu satu bulan hingga mencapai 202.010,96 hektare. Ancaman fenomena El Niño yang kuat dan diperkirakan bertahan hingga awal 2027 berpotensi memperparah kondisi ini, mengingat sebaran titik panas masih mendominasi wilayah Kalimantan dan Papua. Kalimantan Tengah menjadi provinsi yang paling terdampak dengan 61 kejadian karhutla, disusul oleh Jawa Tengah dan Jawa Timur. Dampak kerusakan ini tidak hanya melanda kawasan hutan, melainkan juga merambah ke areal penggunaan lain (APL) yang memicu kerugian ekonomi multisektor, mulai dari fasilitas umum, gangguan sektor transportasi dan logistik akibat kabut asap, hingga risiko kesehatan masyarakat seperti Infeksi Saluran Pernapasan Akut (ISPA).</t>
  </si>
  <si>
    <t>Should Have</t>
  </si>
  <si>
    <t>Pembaruan status penanganan tim BPBD/relawan di lokasi (Laporan Diterima, Petugas Menuju Lokasi, Padam).</t>
  </si>
  <si>
    <t xml:space="preserve">Karhutla Memburuk, Dua Daerah di Riau Tetapkan Status Tanggap Darurat
</t>
  </si>
  <si>
    <t>Memberikan kepastian dan transparansi informasi penanganan bagi warga terdampak.</t>
  </si>
  <si>
    <t>Analisis Data</t>
  </si>
  <si>
    <t>https://regional.kompas.com/read/2026/08/28/140158878/karhutla-memburuk-dua-daerah-di-riau-tetapkan-status-tanggap-darurat?source=terkini_artikel</t>
  </si>
  <si>
    <t>DSA</t>
  </si>
  <si>
    <t>Seasonal Alert Indicator</t>
  </si>
  <si>
    <t>Horasio Nissi Immanuel</t>
  </si>
  <si>
    <t>Modus sensitivitas peringatan khusus yang aktif otomatis pada periode puncak musim kering (Juli–Oktober).</t>
  </si>
  <si>
    <t>Mengatasi risiko puncak karhutla musiman ekstrem yang menyumbang 82,7% total titik api.</t>
  </si>
  <si>
    <t>Berdasarkan berita Karhutla Memburuk, Dua Daerah di Riau Tetapkan Status Tanggap Darurat, BPBD Riau mengonfirmasi bahwa Kabupaten Pelalawan dan Kota Pekanbaru resmi meningkatkan status kebencanaan dari siaga menjadi tanggap darurat karhutla. Langkah ini diambil akibat eskalasi kebakaran hutan dan lahan yang memicu kabut asap pekat hingga memperburuk kualitas udara hingga ke kategori sangat tidak sehat berdasarkan parameter PM2,5. Penetapan status tanggap darurat tersebut bertujuan untuk memperluas kewenangan pemerintah daerah dalam mengerahkan sumber daya, mempercepat pemadaman api, serta mempermudah alokasi bantuan dan koordinasi lintas sektor maupun dengan pemerintah pusat. Dampak dari krisis ini juga telah melumpuhkan sektor pendidikan, di mana aktivitas sekolah formal meliburkan tatap muka dan beralih ke Pembelajaran Jarak Jauh (PJJ) di berbagai wilayah seperti Kota Pekanbaru, Kabupaten Pelalawan, Bengkalis, Indragiri Hulu, Kuantan Singingi, dan sebagian wilayah Kabupaten Siak guna melindungi siswa dari paparan asap berbahaya.
Insight dari peristiwa ini menunjukkan bahwa karhutla di Riau telah berkembang dari ancaman ekologis menjadi krisis sosial dan kesehatan yang berdampak langsung pada pemenuhan hak pendidikan anak. Selain itu, penetapan status darurat ini mengindikasikan perlunya pemangkasan jalur birokrasi agar respons teknis di lapangan—seperti operasi pemadaman darat, water bombing, hingga modifikasi cuaca—dapat dijalankan secara lebih cepat sebelum dampak polusi asap semakin meluas ke wilayah lain.</t>
  </si>
  <si>
    <t>Offline Emergency Mode</t>
  </si>
  <si>
    <t>Kasus ISPA di Kalbar Capai 165 Ribu Akibat Karhutla</t>
  </si>
  <si>
    <t>Next Progress (Phase 3)</t>
  </si>
  <si>
    <t>https://news.detik.com/berita/d-8639139/kasus-ispa-di-kalbar-capai-165-ribu-akibat-karhutla</t>
  </si>
  <si>
    <t>Penyimpanan lokal (caching) untuk panduan darurat dan nomor kontak bantuan BPBD yang bisa diakses saat sinyal terputus.</t>
  </si>
  <si>
    <t>Dashboard</t>
  </si>
  <si>
    <t>Memastikan warga tetap bisa mendapat panduan aksi saat infrastruktur komunikasi terganggu.</t>
  </si>
  <si>
    <t>Violin Monica</t>
  </si>
  <si>
    <t>Dinas Kesehatan (Dinkes) Kalimantan Barat mencatat lonjakan kasus Infeksi Saluran Pernapasan Akut (ISPA) sebanyak 165.727 kasus sepanjang periode 1 Januari hingga 22 Agustus 2026. Peningkatan tren penderita ISPA mulai terdeteksi sejak akhir Mei (minggu ke-21) dan memuncak signifikan pada minggu ke-32. Kenaikan tajam ini terpantau melalui Sistem Kewaspadaan Dini dan Respons (SKDR) seiring dengan maraknya titik panas (hotspot) kebakaran hutan dan lahan (karhutla) di wilayah Kalimantan Barat. Situasi ini berdampak pada tingginya proporsi ISPA yang mencapai sekitar 29 kasus per 1.000 penduduk, yang memicu melonjaknya tingkat kunjungan masyarakat ke fasilitas pelayanan kesehatan primer seperti puskesmas.</t>
  </si>
  <si>
    <t>70% (0.7)</t>
  </si>
  <si>
    <t>Triase Priority Dashboard (Petugas)</t>
  </si>
  <si>
    <t>Guru Besar ITB: Mekanisme aksi dini hadapi El Nino perlu diperkuat</t>
  </si>
  <si>
    <t>https://www.antaranews.com/berita/5679527/guru-besar-itb-mekanisme-aksi-dini-hadapi-el-nino-perlu-diperkuat</t>
  </si>
  <si>
    <t>Web dashboard khusus Command Center BPBD untuk mengurutkan laporan penanganan berdasarkan Risk Score terberat.</t>
  </si>
  <si>
    <t>Membantu petugas memprioritaskan titik api Kritis yang mengancam pemukiman dibanding lahan kosong.</t>
  </si>
  <si>
    <t>Grid-Level Risk Mapping ($0,25^\circ$)</t>
  </si>
  <si>
    <t>Visualisasi sebaran risiko berbasis Geo-Grid 0,25 drajat untuk memetakan bahaya hingga level mikro.</t>
  </si>
  <si>
    <r>
      <rPr>
        <i val="0"/>
      </rPr>
      <t xml:space="preserve">Peningkatan intensitas dan kerugian akibat fenomena </t>
    </r>
    <r>
      <rPr>
        <i val="0"/>
        <color rgb="FF1155CC"/>
        <u/>
      </rPr>
      <t>El Nino</t>
    </r>
    <r>
      <rPr>
        <i val="0"/>
      </rPr>
      <t xml:space="preserve"> menunjukkan bahwa permasalahan utama penanganan bencana iklim di Indonesia bukan terletak pada keterbatasan data atau prediksi meteorologi, melainkan pada lemahnya eksekusi aksi dini (early action). Karena pola El Nino berulang secara berkala—seperti yang terlihat pada rekam jejak krisis tahun 1982/1983, 1997/1998, 2015/2016, hingga 2023—pemerintah dan pemangku kepentingan perlu menggeser paradigma penanggulangan bencana dari respons reaktif menjadi mitigasi proaktif yang terintegrasi secara permanen. Penguatan mekanisme aksi dini, mulai dari kesiapan pasokan air, penyesuaian jadwal tanam, hingga penyiapan infrastruktur pemadam kebakaran hutan dan lahan, menjadi kunci utama untuk memutus rantai kerugian ekonomi bernilai triliunan rupiah serta menjaga stabilitas ketahanan pangan nasional.</t>
    </r>
  </si>
  <si>
    <t>Mengatasi informasi risiko yang selama ini terlalu umum karena hanya mencakup skala provinsi.</t>
  </si>
  <si>
    <t>Could Have</t>
  </si>
  <si>
    <t>Feature Engineering data</t>
  </si>
  <si>
    <t xml:space="preserve">Lihat Titik Api? Jangan Diam! Kapolres Kapuas Hulu: Segera Lapor 110, Cegah Karhutla Sebelum Meluas </t>
  </si>
  <si>
    <t>Recurrence Zone Tracker</t>
  </si>
  <si>
    <t>https://mattanews.co/lihat-titik-api-jangan-diam-kapolres-kapuas-hulu-segera-lapor-110-cegah-karhutla-sebelum-meluas/</t>
  </si>
  <si>
    <t>Grid-Level Risk Mapping (0,25∘)</t>
  </si>
  <si>
    <t>Fitur analisis lokasi yang terbukti terbakar berulang (seperti Kubu Raya yang aktif 19 dari 22 bulan).</t>
  </si>
  <si>
    <t>Muhamad Iqbal Reza</t>
  </si>
  <si>
    <t>Membantu alokasi patroli pencegahan berbasis data historis lokasi berulang.</t>
  </si>
  <si>
    <r>
      <rPr>
        <rFont val="Arial"/>
        <color theme="1"/>
      </rPr>
      <t xml:space="preserve">Pihak kepolisian dan satgas Karhutla mengakui bahwa tanpa partisipasi dan laporan langsung dari masyarakat lokal di lapangan, upaya pemadaman berisiko tinggi mengalami keterlambatan. Hal ini karena </t>
    </r>
    <r>
      <rPr>
        <rFont val="Arial"/>
        <b/>
        <color theme="1"/>
      </rPr>
      <t>satelit memiliki jeda waktu pemantauan</t>
    </r>
    <r>
      <rPr>
        <rFont val="Arial"/>
        <color theme="1"/>
      </rPr>
      <t xml:space="preserve"> dan tidak selalu merekam titik api berukuran kecil secara mendadak.</t>
    </r>
  </si>
  <si>
    <t>Ringkasan Alokasi Progress:</t>
  </si>
  <si>
    <t>MVP Scope (Checkpoint 1 Deliverable): Fitur No. 1, 2, dan 3 (Fokus penuh pada User Journey utama masyarakat: Peringatan ==&gt; Relevansi Lokasi ==&gt;Panduan Aksi).</t>
  </si>
  <si>
    <t>Asap Karhutla Makin Pekat, Warga Sanggau Mulai Resah</t>
  </si>
  <si>
    <t>Next Roadmap (Checkpoint 2 &amp; 3 Development): Fitur No. 4 hingga 12 disajikan sebagai peta jalan pengembangan produk (Product Roadmap) di PRD untuk menunjukkan skala keberlanjutan platform.</t>
  </si>
  <si>
    <t>https://rri.co.id/entikong/kesehatan/2690083/asap-karhutla-makin-pekat-warga-sanggau-mulai-resah</t>
  </si>
  <si>
    <t xml:space="preserve">Pertanyaan Form dan INTV </t>
  </si>
  <si>
    <t>Di Kabupaten Sanggau dan wilayah perbatasan Kalimantan Barat, warga baru merasakan keresahan dan menyadari bahaya karhutla setelah kondisi kabut asap sudah terlanjur sangat pekat mengepung lingkungan mereka pada pagi hari. Minimnya peringatan dini real-time berbasis lokasi membuat masyarakat terlambat melakukan antisipasi pencegahan kesehatan.</t>
  </si>
  <si>
    <t>Research Plan</t>
  </si>
  <si>
    <t>UXA</t>
  </si>
  <si>
    <t>Angel Aurelia</t>
  </si>
  <si>
    <t>[TEMPLATE] User Research Plan</t>
  </si>
  <si>
    <t>https://docs.google.com/document/d/1dRrqNIzUs47Vrdfz4kIdulyDSUbutt0RMWMxJ03nYik/edit?usp=sharing</t>
  </si>
  <si>
    <t>Justifikasi Hasil Perhitungan:</t>
  </si>
  <si>
    <t>Must Have (Skor RICE &gt; 19.0): Tiga fitur MVP memiliki skor tertinggi karena berdampak langsung (Massive Impact) pada keselamatan warga dan efisiensi pengerjaannya terukur (1 person-week per fitur).</t>
  </si>
  <si>
    <t>In Progess</t>
  </si>
  <si>
    <t>Should Have (Skor RICE 7.0 - 20.25): Fitur pendukung publik yang sangat baik, namun memerlukan effort integrasi tambahan (seperti modul kamera/GPS dan API kualitas udara) di Phase 2.</t>
  </si>
  <si>
    <t>Could Have (Skor RICE &lt; 4.5): Memiliki effort teknis tinggi atau reach publik yang lebih terbatas (misalnya dashboard internal BPBD hanya diakses oleh segelintir admin).</t>
  </si>
  <si>
    <t>https://docs.google.com/document/d/18nk8i9SGcMpqtTbkLGSVJjxFtAk0L3u-WCKWmW4tSGM/edit?tab=t.0#heading=h.v1l707r613yj</t>
  </si>
  <si>
    <t>Google Forn</t>
  </si>
  <si>
    <t>Kamilia Luthfihah</t>
  </si>
  <si>
    <t>https://forms.gle/ot9w82Wbk3kknxXD9</t>
  </si>
  <si>
    <t>Goal Success</t>
  </si>
  <si>
    <t>Problem</t>
  </si>
  <si>
    <t>Kategori</t>
  </si>
  <si>
    <t>Interview Plan</t>
  </si>
  <si>
    <t>Metric Utama</t>
  </si>
  <si>
    <t>Baseline / Target (Pilot Phase)</t>
  </si>
  <si>
    <t>Happiness (Kepuasan)</t>
  </si>
  <si>
    <t>CSAT Score &amp; Alert Relevance</t>
  </si>
  <si>
    <t>&gt;=85% pengguna menyatakan notifikasi peringatan lokasi relevan dan bermanfaat.</t>
  </si>
  <si>
    <t>Engagement (Keterlibatan)</t>
  </si>
  <si>
    <t>Click-Through Rate (CTR) Action Rec.</t>
  </si>
  <si>
    <t>&gt;= 60% pengguna yang menerima alert membuka dan membaca Action Recommendation.</t>
  </si>
  <si>
    <t xml:space="preserve">1.⁠ ⁠Warga yang tinggal di desa-desa terpencil dekat kawasan gambut rawan karhutla mengalami kesulitan dalam mendapatkan informasi peringatan dini yang kontekstual dan mudah dipahami mengenai risiko kabut asap di wilayah mereka, karena sistem peringatan yang ada saat ini bersifat pasif dan tidak disesuaikan dengan lokasi spesifik mereka, sehingga berdampak pada keterlambatan kesadaran bahaya (baru sadar setelah asap sudah pekat) dan meningkatnya risiko kesehatan seperti ISPA. Riset ini bertujuan untuk memahami bagaimana warga biasanya mendapatkan informasi soal kualitas udara/karhutla saat ini, dan seperti apa bentuk peringatan yang mereka anggap jelas dan bisa dipercaya.
</t>
  </si>
  <si>
    <t>Penduduk</t>
  </si>
  <si>
    <t>aku vote ini &lt;3</t>
  </si>
  <si>
    <t>aku juga</t>
  </si>
  <si>
    <t>aku juga 3</t>
  </si>
  <si>
    <t>Adoption (Adopsi)</t>
  </si>
  <si>
    <t>User Onboarding Rate</t>
  </si>
  <si>
    <t>Tercapai 10.000+ pengguna aktif di kawasan rawan (Kalbar) selama periode puncak (Jul–Okt).</t>
  </si>
  <si>
    <t>Retention (Retensi)</t>
  </si>
  <si>
    <t>Seasonal Active Rate</t>
  </si>
  <si>
    <t>&gt;= 70% pengguna tetap membuka aplikasi/menerima notifikasi mingguan selama musim kering.</t>
  </si>
  <si>
    <t>Task Success (Performa Engine)</t>
  </si>
  <si>
    <t>Alert Precision &amp; Model AUC</t>
  </si>
  <si>
    <t>Model HGB mempertahankan ROC-AUC &gt;= 0.80 dan zero false alarm kritikal (&gt;90% akurasi radius 5 km).</t>
  </si>
  <si>
    <t>https://www.figma.com/board/Wvwz4P76QVg3FXxULlPjDc/-KEL.-X--User-Interview?node-id=0-1&amp;t=ope4OWZEY58ERs3c-1</t>
  </si>
  <si>
    <t>2.⁠ ⁠Petugas lapangan dan relawan karhutla mengalami kesulitan dalam menentukan titik panas mana yang harus diverifikasi dan direspons lebih dulu, karena data hotspot, cuaca, dan sebaran populasi/infrastruktur vital tidak terintegrasi sehingga mereka bekerja tanpa arahan prioritas yang jelas, sehingga berdampak pada waktu verifikasi lapangan yang memakan 12–24 jam dan berisiko keterlambatan penanganan di titik api yang justru paling berbahaya (dekat fasilitas kesehatan/permukiman padat). Riset ini bertujuan untuk memahami alur kerja verifikasi lapangan saat ini dan informasi apa yang paling mereka butuhkan sebelum turun ke lokasi.</t>
  </si>
  <si>
    <t>Fasilitas Sekolah</t>
  </si>
  <si>
    <t>Petugas dan Relawan</t>
  </si>
  <si>
    <t>3.⁠ ⁠Command center dan pemerintah daerah (BPBD) mengalami kesulitan dalam mengambil keputusan cepat mengenai prioritas dan alokasi sumber daya penanganan karhutla, karena data dari berbagai sumber (BMKG, NASA FIRMS, ESA WorldCover, data administrasi) terfragmentasi di platform-platform terpisah sehingga tidak ada korelasi spasial otomatis antara titik panas dan populasi/infrastruktur rentan, sehingga berdampak pada inefisiensi penugasan personel gabungan yang terbatas dan risiko salah prioritas dalam situasi darurat. Riset ini bertujuan untuk memahami bagaimana command center saat ini menyusun prioritas respons dan data apa yang paling sering mereka butuhkan tapi sulit diakses cepat.</t>
  </si>
  <si>
    <t>Pemerintah dan Petugas</t>
  </si>
  <si>
    <t>https://www.figma.com/board/UXmWg6QOnEusENPC2OBDj9/-GAMMA--User-Interview?node-id=0-1</t>
  </si>
  <si>
    <t>User Pesona</t>
  </si>
  <si>
    <t>Nama Kompetitor</t>
  </si>
  <si>
    <t>Jenis Competitor</t>
  </si>
  <si>
    <t>Deskripsi Aplikasi (Desc)</t>
  </si>
  <si>
    <t>Kelemahan dibanding FIRELINE (Gap &amp; UVP)</t>
  </si>
  <si>
    <t>https://www.google.com/url?q=https://www.figma.com/board/3khX2SZCpLOKdDsuqgbcih/-KEL.-X--User-Persona?node-id%3D0-1%26t%3DcJ5yaD6f0FiglccR-1&amp;sa=D&amp;source=editors&amp;ust=1787416186302968&amp;usg=AOvVaw15IIv2VG9uYnMIRe2UffGa</t>
  </si>
  <si>
    <t>Solusi / Fitur</t>
  </si>
  <si>
    <t>SIPONGI (KLHK)</t>
  </si>
  <si>
    <t>Fungsi Spesifik untuk Masyarakat</t>
  </si>
  <si>
    <t>Direct Competitor (Pemerintah Indonesia)</t>
  </si>
  <si>
    <t>Platform sistem informasi pemantauan karhutla resmi dari Kementerian Lingkungan Hidup dan Kehutanan (KLHK) Indonesia yang menampilkan data sebaran hotspot satelit dan luasan lahan terbakar secara nasional.</t>
  </si>
  <si>
    <t>Komponen Problem Statement yang Dijawab</t>
  </si>
  <si>
    <t>Menyajikan data mentah titik api (hotspot) tanpa menghitung skor keterpaparan manusia &lt;5 km dari sekolah/permukiman) serta belum menyediakan sistem peringatan dini yang kontekstual bagi masyarakat umum.</t>
  </si>
  <si>
    <t>NASA FIRMS</t>
  </si>
  <si>
    <t>Direct Competitor (Global Data Provider)</t>
  </si>
  <si>
    <t>Geofenced Hazard Alert</t>
  </si>
  <si>
    <t>Platform pemantauan active fire global berbasis citra satelit (MODIS &amp; VIIRS NOAA-20) yang menyediakan data koordinat geografis, brightness, dan Fire Radiative Power (FRP).</t>
  </si>
  <si>
    <t>Peringatan otomatis (push notification) ke HP warga jika ada titik api berstatus Kritis yang muncul di radius sekitar mereka.</t>
  </si>
  <si>
    <t>Memiliki jeda waktu pantauan (blind spot) hingga 12 jam antarlintasan satelit, antarmuka teknis data mentah sulit dipahami warga awam, serta tidak menyediakan rekomendasi aksi perlindungan mandiri.</t>
  </si>
  <si>
    <t>"Masyarakat membutuhkan informasi peringatan dini yang relevan dengan risiko di sekitar mereka"</t>
  </si>
  <si>
    <t>InaRISK (BNPB)</t>
  </si>
  <si>
    <t>Platform portal kajian risiko bencana nasional milik Badan Nasional Penanggulangan Bencana (BNPB) yang menampilkan peta indeks ancaman, kerentanan, dan kapasitas risiko bencana daerah.</t>
  </si>
  <si>
    <t>Menampilkan indeks risiko makro yang statis (berbasis agregasi wilayah) dan kurang dinamis untuk memantau hotspot harian secara real-time atau mengirim notifikasi bahaya presisi di radius &lt;5 km warga.</t>
  </si>
  <si>
    <t>5-km School &amp; Faskes Radar</t>
  </si>
  <si>
    <t>GWIS / EFFIS (Copernicus)</t>
  </si>
  <si>
    <t>Visualisasi radar interaktif yang menunjukkan posisi titik api terhadap sekolah dan fasilitas umum dalam radius 5 km.</t>
  </si>
  <si>
    <t>Direct Competitor (Global Platform)</t>
  </si>
  <si>
    <t>"75,7% titik api berada dalam radius 5 km dari sekolah"</t>
  </si>
  <si>
    <t>Platform pemantauan dan analisis risiko kebakaran hutan global yang dikembangkan oleh European Commission &amp; Copernicus untuk menyediakan data indeks bahaya kebakaran (FWI) dan historis area terbakar.</t>
  </si>
  <si>
    <t>Berfokus pada pemodelan skala benua/makro, tidak terintegrasi dengan data jaringan sekolah/faskes lokal di Kalimantan, serta tidak memiliki rekomendasi aksi perlindungan (Action Recommendation) berbasis lokasi user.</t>
  </si>
  <si>
    <t>Problem Statement</t>
  </si>
  <si>
    <t>BMKG Info / AirVisual</t>
  </si>
  <si>
    <t>Indirect Competitor (Weather &amp; Air Quality)</t>
  </si>
  <si>
    <t>Fitur bagi warga untuk mengunggah foto, koordinat GPS, dan kondisi asap secara real-time guna memangkas jeda pantauan satelit.</t>
  </si>
  <si>
    <t>Aplikasi penyedia informasi prakiraan cuaca, potensi kekeringan, dan Indikator Standar Pencemar Udara (ISPU / PM2.5) harian di Indonesia.</t>
  </si>
  <si>
    <t>"Mencegah masyarakat terlambat mengenali tingkat bahaya"</t>
  </si>
  <si>
    <t>Hanya memprediksi parameter iklim makro dan kualitas udara secara umum tanpa memetakan lokasi pasti titik api aktif secara real-time atau mengintegrasikan radiasi risiko permukiman.</t>
  </si>
  <si>
    <t>Contextual Action Guide</t>
  </si>
  <si>
    <t>PetaBencana.id</t>
  </si>
  <si>
    <t>Panduan panduan langkah perlindungan diri yang dipersonalisasi (misal: evakuasi sekolah, penggunaan masker, sekat basah).</t>
  </si>
  <si>
    <t>"Memandu masyarakat menentukan tindakan yang tepat untuk melindungi diri &amp; lingkungan"</t>
  </si>
  <si>
    <t>Peta pantauan arah sebaran asap dan indikator kualitas udara harian di tingkat kecamatan/grid lokal (0,25 drajat).</t>
  </si>
  <si>
    <t>"Informasi peringatan dini yang relevan di sekitar mereka"</t>
  </si>
  <si>
    <t>Indikator tingkat siaga musiman yang mengaitkan risiko lokal khusus pada periode puncak musim kering (Juli–Oktober).</t>
  </si>
  <si>
    <t>"Pada musim kering Juli-Oktober"</t>
  </si>
  <si>
    <t>Indirect Competitor (Crowdsourcing Platform)</t>
  </si>
  <si>
    <t>Simplified Risk Tiering</t>
  </si>
  <si>
    <t>Label bahaya yang mudah dipahami warga (Kritis, Tinggi, Sedang, Rendah) menggantikan data grafik FRP/satelit mentah.</t>
  </si>
  <si>
    <t>Platform pemetaan bencana berbasis partisipasi warga (crowdsourcing) real-time yang memanfaatkan pesan otomatis media sosial dan pelaporan publik untuk memetakan lokasi bencana di Indonesia.</t>
  </si>
  <si>
    <t>Solution Idea</t>
  </si>
  <si>
    <t>"Meningkatkan pemahaman tingkat bahaya tanpa membingungkan warga dengan data mentah"</t>
  </si>
  <si>
    <t>Sangat bergantung pada laporan manual warga (pasif jika tidak ada laporan) dan belum mengintegrasikan model prediktif lonjakan titik api H-1 berbasis Machine Learning.</t>
  </si>
  <si>
    <t>Predictive Surge Warning for Public</t>
  </si>
  <si>
    <t>Peringatan dini 1 hari sebelumnya jika diproyeksikan terjadi lonjakan titik api harian di wilayah tempat tinggal warga.</t>
  </si>
  <si>
    <t>"Peringatan dini sebelum bahaya karhutla membesar di lingkungan sekitar"</t>
  </si>
  <si>
    <t>https://www.figma.com/board/XIcblwlvp5S1cjJO4lsz6k/-KEL.-X--Solution?node-id=1-3&amp;t=70RkaCOQBQoEmzrW-1</t>
  </si>
  <si>
    <t>SEA</t>
  </si>
  <si>
    <t>- Analisis Data</t>
  </si>
  <si>
    <t>Status pemantauan dan tindakan tim lapangan (Laporan Diterima, Petugas Menuju Lokasi, Proses Pemadaman).</t>
  </si>
  <si>
    <t>- Bantu cari berita</t>
  </si>
  <si>
    <t>"Memberikan kepastian bagi masyarakat dalam mengambil keputusan perlindungan"</t>
  </si>
  <si>
    <t>- Dashboard</t>
  </si>
  <si>
    <t>PRD</t>
  </si>
  <si>
    <t>- Use Case</t>
  </si>
  <si>
    <t>- Feature Engineering data</t>
  </si>
  <si>
    <t>Solution Product</t>
  </si>
  <si>
    <t>- ERD</t>
  </si>
  <si>
    <t>Data Pitchdeck</t>
  </si>
  <si>
    <t>Feature Prioritaztion</t>
  </si>
  <si>
    <t>- System Design</t>
  </si>
  <si>
    <t>- Research Plan</t>
  </si>
  <si>
    <t>Product Scope</t>
  </si>
  <si>
    <t>Akses panduan darurat dan nomor kontak bantuan BPBD/Relawan lokal yang tetap bisa dibuka saat sinyal terganggu asap pekat.</t>
  </si>
  <si>
    <t>- Design Architecture</t>
  </si>
  <si>
    <t>- User Interview</t>
  </si>
  <si>
    <t>"Memastikan masyarakat dapat bertindak tepat dalam situasi darurat"</t>
  </si>
  <si>
    <t>Competitive &amp; Analysis Market</t>
  </si>
  <si>
    <t>System and Data Engineering</t>
  </si>
  <si>
    <t>- Lo-Fi</t>
  </si>
  <si>
    <t>Goals &amp; Success Metrics</t>
  </si>
  <si>
    <t>Data pitchdeck</t>
  </si>
  <si>
    <t xml:space="preserve">- G Form </t>
  </si>
  <si>
    <t>Ide solusi (HMW)</t>
  </si>
  <si>
    <t>- Inisialisasi Front End</t>
  </si>
  <si>
    <t>Roadmap</t>
  </si>
  <si>
    <t>- Bikin Pitch Deck</t>
  </si>
  <si>
    <t>GTM &amp; Etichs</t>
  </si>
  <si>
    <t>Data Pitch deck</t>
  </si>
  <si>
    <t xml:space="preserve">Dokumen Tugas </t>
  </si>
  <si>
    <t>User Persona</t>
  </si>
  <si>
    <t>Dokumen Tugas</t>
  </si>
  <si>
    <t>PRD Draft Awal</t>
  </si>
  <si>
    <t>Product Requirement Document - Template</t>
  </si>
  <si>
    <t>Background
Product Scope
Success Metrics
User Requirement (Stakeholders, User Stories, Acceptance Criteria)
Functional &amp; Non Functional Requirements
Key Milestones</t>
  </si>
  <si>
    <t>https://www.figma.com/board/kMimY2bZGOxFFK6yJK3p9f/-KEL.-X--Value-Effort-Matrix?node-id=0-1&amp;t=1LWnbFiPLBhGXnho-1</t>
  </si>
  <si>
    <t>Moscow
RICE
Impact Effort</t>
  </si>
  <si>
    <t>Product Scope / MVP</t>
  </si>
  <si>
    <t>Lo-Fi</t>
  </si>
  <si>
    <t>Inisialisasi Front End</t>
  </si>
  <si>
    <t>PRD Finalisasi</t>
  </si>
  <si>
    <t>Checkpoint 2</t>
  </si>
  <si>
    <t>Use Case</t>
  </si>
  <si>
    <t>ERD</t>
  </si>
  <si>
    <t>Airin Ristiana</t>
  </si>
  <si>
    <t>System Design</t>
  </si>
  <si>
    <t>Ihsan Wardhana Ristiarto</t>
  </si>
  <si>
    <t>Design Architecture</t>
  </si>
  <si>
    <t>Prototype Figma</t>
  </si>
  <si>
    <t>Checkpoint 3</t>
  </si>
  <si>
    <t>Pitchdeck</t>
  </si>
  <si>
    <t>All</t>
  </si>
  <si>
    <t>Notes:</t>
  </si>
  <si>
    <t>- Sprint Planning mengikuti jadwal Checkpoint dikurang 1 ya kecuali Sprint 1 (Ngejar Deadline)</t>
  </si>
  <si>
    <r>
      <rPr>
        <rFont val="Times New Roman"/>
        <sz val="12.0"/>
      </rPr>
      <t xml:space="preserve">- Submit tugas di </t>
    </r>
    <r>
      <rPr>
        <rFont val="Times New Roman"/>
        <color rgb="FF1155CC"/>
        <sz val="12.0"/>
        <u/>
      </rPr>
      <t>http://compfest.link/SubmisiCaseStudyGNCF18</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</si>
</sst>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quot;-&quot;mmm&quot;-&quot;yyyy"/>
  </numFmts>
  <fonts count="24">
    <font>
      <sz val="10.0"/>
      <color rgb="FF000000"/>
      <name val="Arial"/>
      <scheme val="minor"/>
    </font>
    <font>
      <b/>
      <color rgb="FF1F1F1F"/>
      <name val="&quot;Google Sans Text&quot;"/>
    </font>
    <font>
      <b/>
      <sz val="12.0"/>
      <color theme="1"/>
      <name val="Times New Roman"/>
    </font>
    <font>
      <b/>
      <color theme="1"/>
      <name val="Arial"/>
      <scheme val="minor"/>
    </font>
    <font>
      <b/>
      <color theme="1"/>
      <name val="&quot;Google Sans Text&quot;"/>
    </font>
    <font>
      <sz val="12.0"/>
      <color theme="1"/>
      <name val="Times New Roman"/>
    </font>
    <font>
      <color theme="1"/>
      <name val="Arial"/>
      <scheme val="minor"/>
    </font>
    <font>
      <sz val="12.0"/>
      <color rgb="FF1F1F1F"/>
      <name val="Times New Roman"/>
    </font>
    <font>
      <u/>
      <color rgb="FF0000FF"/>
      <name val="Roboto"/>
    </font>
    <font>
      <u/>
      <color rgb="FF000000"/>
      <name val="Roboto"/>
    </font>
    <font>
      <i/>
      <u/>
      <color rgb="FF0000FF"/>
      <name val="Roboto"/>
    </font>
    <font>
      <i/>
      <color rgb="FF1F1F1F"/>
      <name val="&quot;Google Sans Text&quot;"/>
    </font>
    <font>
      <b/>
      <i/>
      <color rgb="FF1F1F1F"/>
      <name val="&quot;Google Sans Text&quot;"/>
    </font>
    <font>
      <u/>
      <sz val="12.0"/>
      <color theme="1"/>
      <name val="Times New Roman"/>
    </font>
    <font>
      <b/>
      <sz val="14.0"/>
      <color theme="1"/>
      <name val="Times New Roman"/>
    </font>
    <font>
      <u/>
      <sz val="12.0"/>
      <color rgb="FF434343"/>
      <name val="Times New Roman"/>
    </font>
    <font>
      <i/>
      <color theme="1"/>
      <name val="Times New Roman"/>
    </font>
    <font>
      <u/>
      <sz val="12.0"/>
      <color rgb="FF0000FF"/>
      <name val="Times New Roman"/>
    </font>
    <font>
      <u/>
      <sz val="12.0"/>
      <color rgb="FF0000FF"/>
      <name val="Times New Roman"/>
    </font>
    <font>
      <b/>
      <i/>
      <color theme="1"/>
      <name val="&quot;Google Sans Text&quot;"/>
    </font>
    <font>
      <u/>
      <sz val="12.0"/>
      <color rgb="FF1F1F1F"/>
      <name val="Times New Roman"/>
    </font>
    <font>
      <b/>
      <i/>
      <sz val="14.0"/>
      <color rgb="FF1F1F1F"/>
      <name val="&quot;Google Sans Text&quot;"/>
    </font>
    <font>
      <u/>
      <sz val="12.0"/>
      <color theme="1"/>
      <name val="Times New Roman"/>
    </font>
    <font>
      <u/>
      <sz val="12.0"/>
      <color rgb="FF0000FF"/>
      <name val="Times New Roman"/>
    </font>
  </fonts>
  <fills count="4">
    <fill>
      <patternFill patternType="none"/>
    </fill>
    <fill>
      <patternFill patternType="lightGray"/>
    </fill>
    <fill>
      <patternFill patternType="solid">
        <fgColor rgb="FFFFE599"/>
        <bgColor rgb="FFFFE599"/>
      </patternFill>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horizontal="center" readingOrder="0" shrinkToFit="0" vertical="center" wrapText="1"/>
    </xf>
    <xf borderId="0" fillId="0" fontId="3" numFmtId="0" xfId="0" applyAlignment="1" applyFont="1">
      <alignment horizontal="center" readingOrder="0" shrinkToFit="0" vertical="center" wrapText="0"/>
    </xf>
    <xf borderId="0" fillId="0" fontId="4" numFmtId="0" xfId="0" applyAlignment="1" applyFont="1">
      <alignment horizontal="left" readingOrder="0" shrinkToFit="0" vertical="center" wrapText="0"/>
    </xf>
    <xf borderId="1" fillId="0" fontId="5" numFmtId="0" xfId="0" applyAlignment="1" applyBorder="1" applyFont="1">
      <alignment horizontal="center" readingOrder="0" shrinkToFit="0" vertical="center" wrapText="1"/>
    </xf>
    <xf borderId="1" fillId="0" fontId="6" numFmtId="0" xfId="0" applyAlignment="1" applyBorder="1" applyFont="1">
      <alignment readingOrder="0" shrinkToFit="0" vertical="center" wrapText="1"/>
    </xf>
    <xf borderId="1" fillId="0" fontId="7" numFmtId="0" xfId="0" applyAlignment="1" applyBorder="1" applyFont="1">
      <alignment readingOrder="0" shrinkToFit="0" vertical="center" wrapText="1"/>
    </xf>
    <xf borderId="1" fillId="0" fontId="6" numFmtId="0" xfId="0" applyAlignment="1" applyBorder="1" applyFont="1">
      <alignment readingOrder="0" shrinkToFit="0" vertical="center" wrapText="1"/>
    </xf>
    <xf borderId="1" fillId="2" fontId="5" numFmtId="0" xfId="0" applyAlignment="1" applyBorder="1" applyFill="1" applyFont="1">
      <alignment horizontal="center" shrinkToFit="0" vertical="center" wrapText="1"/>
    </xf>
    <xf borderId="1" fillId="0" fontId="7" numFmtId="0" xfId="0" applyAlignment="1" applyBorder="1" applyFont="1">
      <alignment readingOrder="0" shrinkToFit="0" vertical="center" wrapText="1"/>
    </xf>
    <xf borderId="1" fillId="0" fontId="5" numFmtId="0" xfId="0" applyAlignment="1" applyBorder="1" applyFont="1">
      <alignment horizontal="center" shrinkToFit="0" vertical="center" wrapText="1"/>
    </xf>
    <xf borderId="0" fillId="0" fontId="2" numFmtId="0" xfId="0" applyAlignment="1" applyFont="1">
      <alignment horizontal="center" readingOrder="0" shrinkToFit="0" vertical="center" wrapText="1"/>
    </xf>
    <xf borderId="1" fillId="0" fontId="5" numFmtId="0" xfId="0" applyAlignment="1" applyBorder="1" applyFont="1">
      <alignment horizontal="center" shrinkToFit="0" vertical="center" wrapText="1"/>
    </xf>
    <xf borderId="0" fillId="0" fontId="5" numFmtId="0" xfId="0" applyAlignment="1" applyFont="1">
      <alignment shrinkToFit="0" vertical="center" wrapText="1"/>
    </xf>
    <xf borderId="1" fillId="0" fontId="5" numFmtId="0" xfId="0" applyAlignment="1" applyBorder="1" applyFont="1">
      <alignment horizontal="center" shrinkToFit="0" vertical="center" wrapText="1"/>
    </xf>
    <xf borderId="1" fillId="0" fontId="5" numFmtId="0" xfId="0" applyAlignment="1" applyBorder="1" applyFont="1">
      <alignment readingOrder="0" shrinkToFit="0" vertical="center" wrapText="1"/>
    </xf>
    <xf borderId="1" fillId="0" fontId="8" numFmtId="0" xfId="0" applyAlignment="1" applyBorder="1" applyFont="1">
      <alignment readingOrder="0" shrinkToFit="0" vertical="center" wrapText="1"/>
    </xf>
    <xf borderId="1" fillId="0" fontId="5" numFmtId="0" xfId="0" applyAlignment="1" applyBorder="1" applyFont="1">
      <alignment readingOrder="0" shrinkToFit="0" vertical="center" wrapText="1"/>
    </xf>
    <xf borderId="1" fillId="0" fontId="5" numFmtId="0" xfId="0" applyAlignment="1" applyBorder="1" applyFont="1">
      <alignment shrinkToFit="0" vertical="center" wrapText="1"/>
    </xf>
    <xf borderId="1" fillId="0" fontId="5" numFmtId="164" xfId="0" applyAlignment="1" applyBorder="1" applyFont="1" applyNumberFormat="1">
      <alignment horizontal="center" readingOrder="0" shrinkToFit="0" vertical="center" wrapText="1"/>
    </xf>
    <xf borderId="1" fillId="0" fontId="9" numFmtId="0" xfId="0" applyAlignment="1" applyBorder="1" applyFont="1">
      <alignment readingOrder="0" shrinkToFit="0" vertical="center" wrapText="1"/>
    </xf>
    <xf borderId="1" fillId="0" fontId="5" numFmtId="0" xfId="0" applyAlignment="1" applyBorder="1" applyFont="1">
      <alignment readingOrder="0" shrinkToFit="0" vertical="center" wrapText="1"/>
    </xf>
    <xf borderId="1" fillId="0" fontId="5" numFmtId="0" xfId="0" applyAlignment="1" applyBorder="1" applyFont="1">
      <alignment shrinkToFit="0" vertical="center" wrapText="1"/>
    </xf>
    <xf borderId="0" fillId="0" fontId="5" numFmtId="0" xfId="0" applyAlignment="1" applyFont="1">
      <alignment shrinkToFit="0" vertical="center" wrapText="1"/>
    </xf>
    <xf borderId="1" fillId="0" fontId="10" numFmtId="0" xfId="0" applyAlignment="1" applyBorder="1" applyFont="1">
      <alignment readingOrder="0" shrinkToFit="0" vertical="center" wrapText="1"/>
    </xf>
    <xf borderId="0" fillId="0" fontId="11" numFmtId="0" xfId="0" applyAlignment="1" applyFont="1">
      <alignment readingOrder="0"/>
    </xf>
    <xf borderId="0" fillId="0" fontId="12" numFmtId="0" xfId="0" applyFont="1"/>
    <xf borderId="0" fillId="0" fontId="5" numFmtId="0" xfId="0" applyAlignment="1" applyFont="1">
      <alignment readingOrder="0" shrinkToFit="0" vertical="center" wrapText="1"/>
    </xf>
    <xf borderId="1" fillId="0" fontId="13" numFmtId="0" xfId="0" applyAlignment="1" applyBorder="1" applyFont="1">
      <alignment readingOrder="0" shrinkToFit="0" vertical="center" wrapText="1"/>
    </xf>
    <xf borderId="0" fillId="0" fontId="14" numFmtId="0" xfId="0" applyAlignment="1" applyFont="1">
      <alignment readingOrder="0"/>
    </xf>
    <xf borderId="1" fillId="0" fontId="15" numFmtId="0" xfId="0" applyAlignment="1" applyBorder="1" applyFont="1">
      <alignment readingOrder="0" shrinkToFit="0" vertical="center" wrapText="1"/>
    </xf>
    <xf borderId="0" fillId="0" fontId="16" numFmtId="0" xfId="0" applyAlignment="1" applyFont="1">
      <alignment readingOrder="0"/>
    </xf>
    <xf borderId="0" fillId="0" fontId="17" numFmtId="0" xfId="0" applyAlignment="1" applyFont="1">
      <alignment readingOrder="0" shrinkToFit="0" vertical="center" wrapText="1"/>
    </xf>
    <xf borderId="1" fillId="0" fontId="18" numFmtId="0" xfId="0" applyAlignment="1" applyBorder="1" applyFont="1">
      <alignment readingOrder="0" shrinkToFit="0" vertical="center" wrapText="1"/>
    </xf>
    <xf borderId="0" fillId="0" fontId="5" numFmtId="0" xfId="0" applyAlignment="1" applyFont="1">
      <alignment readingOrder="0" shrinkToFit="0" vertical="center" wrapText="1"/>
    </xf>
    <xf borderId="1" fillId="3" fontId="3" numFmtId="0" xfId="0" applyAlignment="1" applyBorder="1" applyFill="1" applyFont="1">
      <alignment horizontal="center" readingOrder="0" vertical="center"/>
    </xf>
    <xf borderId="0" fillId="0" fontId="6" numFmtId="0" xfId="0" applyAlignment="1" applyFont="1">
      <alignment readingOrder="0"/>
    </xf>
    <xf borderId="1" fillId="0" fontId="5" numFmtId="0" xfId="0" applyAlignment="1" applyBorder="1" applyFont="1">
      <alignment horizontal="center" readingOrder="0" shrinkToFit="0" vertical="center" wrapText="1"/>
    </xf>
    <xf borderId="1" fillId="0" fontId="2" numFmtId="0" xfId="0" applyAlignment="1" applyBorder="1" applyFont="1">
      <alignment readingOrder="0" shrinkToFit="0" vertical="center" wrapText="1"/>
    </xf>
    <xf borderId="0" fillId="3" fontId="6" numFmtId="0" xfId="0" applyAlignment="1" applyFill="1" applyFont="1">
      <alignment readingOrder="0" shrinkToFit="0" wrapText="1"/>
    </xf>
    <xf borderId="0" fillId="0" fontId="6" numFmtId="0" xfId="0" applyAlignment="1" applyFont="1">
      <alignment readingOrder="0" shrinkToFit="0" wrapText="1"/>
    </xf>
    <xf borderId="0" fillId="0" fontId="6" numFmtId="0" xfId="0" applyAlignment="1" applyFont="1">
      <alignment horizontal="center" readingOrder="0" vertical="center"/>
    </xf>
    <xf borderId="0" fillId="0" fontId="19" numFmtId="0" xfId="0" applyAlignment="1" applyFont="1">
      <alignment horizontal="left" readingOrder="0" shrinkToFit="0" vertical="center" wrapText="0"/>
    </xf>
    <xf borderId="0" fillId="0" fontId="5" numFmtId="0" xfId="0" applyAlignment="1" applyFont="1">
      <alignment horizontal="left" readingOrder="0" shrinkToFit="0" vertical="center" wrapText="1"/>
    </xf>
    <xf borderId="0" fillId="0" fontId="7" numFmtId="0" xfId="0" applyAlignment="1" applyFont="1">
      <alignment horizontal="left" readingOrder="0" shrinkToFit="0" vertical="center" wrapText="1"/>
    </xf>
    <xf borderId="0" fillId="0" fontId="7" numFmtId="0" xfId="0" applyAlignment="1" applyFont="1">
      <alignment horizontal="center" readingOrder="0" shrinkToFit="0" vertical="center" wrapText="1"/>
    </xf>
    <xf borderId="0" fillId="0" fontId="7" numFmtId="0" xfId="0" applyAlignment="1" applyFont="1">
      <alignment readingOrder="0" shrinkToFit="0" vertical="center" wrapText="1"/>
    </xf>
    <xf borderId="0" fillId="0" fontId="20" numFmtId="0" xfId="0" applyAlignment="1" applyFont="1">
      <alignment horizontal="left" readingOrder="0" shrinkToFit="0" vertical="center" wrapText="1"/>
    </xf>
    <xf borderId="0" fillId="0" fontId="21" numFmtId="0" xfId="0" applyFont="1"/>
    <xf borderId="0" fillId="0" fontId="21" numFmtId="0" xfId="0" applyAlignment="1" applyFont="1">
      <alignment readingOrder="0"/>
    </xf>
    <xf borderId="0" fillId="0" fontId="3" numFmtId="0" xfId="0" applyAlignment="1" applyFont="1">
      <alignment readingOrder="0"/>
    </xf>
    <xf borderId="1" fillId="0" fontId="22" numFmtId="0" xfId="0" applyAlignment="1" applyBorder="1" applyFont="1">
      <alignment readingOrder="0" shrinkToFit="0" vertical="center" wrapText="1"/>
    </xf>
    <xf borderId="1" fillId="0" fontId="6" numFmtId="0" xfId="0" applyAlignment="1" applyBorder="1" applyFont="1">
      <alignment readingOrder="0" shrinkToFit="0" vertical="center" wrapText="0"/>
    </xf>
    <xf borderId="1" fillId="0" fontId="5" numFmtId="0" xfId="0" applyAlignment="1" applyBorder="1" applyFont="1">
      <alignment readingOrder="0" shrinkToFit="0" vertical="center" wrapText="1"/>
    </xf>
    <xf borderId="1" fillId="0" fontId="5" numFmtId="0" xfId="0" applyAlignment="1" applyBorder="1" applyFont="1">
      <alignment readingOrder="0" shrinkToFit="0" vertical="center" wrapText="1"/>
    </xf>
    <xf borderId="1" fillId="0" fontId="5" numFmtId="0" xfId="0" applyAlignment="1" applyBorder="1" applyFont="1">
      <alignment shrinkToFit="0" vertical="center" wrapText="1"/>
    </xf>
    <xf borderId="1" fillId="0" fontId="5" numFmtId="164" xfId="0" applyAlignment="1" applyBorder="1" applyFont="1" applyNumberFormat="1">
      <alignment horizontal="center" readingOrder="0" shrinkToFit="0" vertical="center" wrapText="1"/>
    </xf>
    <xf borderId="1" fillId="0" fontId="5" numFmtId="0" xfId="0" applyAlignment="1" applyBorder="1" applyFont="1">
      <alignment shrinkToFit="0" vertical="center" wrapText="1"/>
    </xf>
    <xf borderId="0" fillId="0" fontId="5" numFmtId="0" xfId="0" applyAlignment="1" applyFont="1">
      <alignment readingOrder="0" shrinkToFit="0" vertical="center" wrapText="1"/>
    </xf>
    <xf borderId="0" fillId="0" fontId="5" numFmtId="0" xfId="0" applyAlignment="1" applyFont="1">
      <alignment readingOrder="0" shrinkToFit="0" vertical="center" wrapText="0"/>
    </xf>
    <xf borderId="0" fillId="0" fontId="23" numFmtId="0" xfId="0" applyAlignment="1" applyFont="1">
      <alignment readingOrder="0" shrinkToFit="0" vertical="center" wrapText="0"/>
    </xf>
    <xf borderId="0" fillId="0" fontId="5"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6">
    <tableStyle count="4" pivot="0" name="01. Berita-style">
      <tableStyleElement dxfId="1" type="headerRow"/>
      <tableStyleElement dxfId="2" type="firstRowStripe"/>
      <tableStyleElement dxfId="3" type="secondRowStripe"/>
      <tableStyleElement dxfId="4" size="0" type="wholeTable"/>
    </tableStyle>
    <tableStyle count="4" pivot="0" name="02. MVP-style">
      <tableStyleElement dxfId="1" type="headerRow"/>
      <tableStyleElement dxfId="2" type="firstRowStripe"/>
      <tableStyleElement dxfId="3" type="secondRowStripe"/>
      <tableStyleElement dxfId="4" size="0" type="wholeTable"/>
    </tableStyle>
    <tableStyle count="4" pivot="0" name="00. Team Task-style">
      <tableStyleElement dxfId="1" type="headerRow"/>
      <tableStyleElement dxfId="2" type="firstRowStripe"/>
      <tableStyleElement dxfId="3" type="secondRowStripe"/>
      <tableStyleElement dxfId="4" size="0" type="wholeTable"/>
    </tableStyle>
    <tableStyle count="4" pivot="0" name="03. Prioritization-style">
      <tableStyleElement dxfId="1" type="headerRow"/>
      <tableStyleElement dxfId="2" type="firstRowStripe"/>
      <tableStyleElement dxfId="3" type="secondRowStripe"/>
      <tableStyleElement dxfId="4" size="0" type="wholeTable"/>
    </tableStyle>
    <tableStyle count="4" pivot="0" name="Competitor Analysis-style">
      <tableStyleElement dxfId="1" type="headerRow"/>
      <tableStyleElement dxfId="2" type="firstRowStripe"/>
      <tableStyleElement dxfId="3" type="secondRowStripe"/>
      <tableStyleElement dxfId="4" size="0" type="wholeTable"/>
    </tableStyle>
    <tableStyle count="4" pivot="0" name="Calon Solusi-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8.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753100" cy="5448300"/>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1:K28" displayName="Table1" name="Table1" id="2">
  <tableColumns count="11">
    <tableColumn name="No" id="1"/>
    <tableColumn name="Task" id="2"/>
    <tableColumn name="Divisi Penanggung Jawab" id="3"/>
    <tableColumn name="PIC " id="4"/>
    <tableColumn name="Sprint" id="5"/>
    <tableColumn name="Start Date" id="6"/>
    <tableColumn name="Deadline" id="7"/>
    <tableColumn name="Template Document" id="8"/>
    <tableColumn name="Output" id="9"/>
    <tableColumn name="Status" id="10"/>
    <tableColumn name="Column 1" id="11"/>
  </tableColumns>
  <tableStyleInfo name="00. Team Task-style" showColumnStripes="0" showFirstColumn="1" showLastColumn="1" showRowStripes="1"/>
</table>
</file>

<file path=xl/tables/table2.xml><?xml version="1.0" encoding="utf-8"?>
<table xmlns="http://schemas.openxmlformats.org/spreadsheetml/2006/main" ref="A1:D9" displayName="Berita" name="Berita" id="1">
  <tableColumns count="4">
    <tableColumn name="No" id="1"/>
    <tableColumn name="Judul" id="2"/>
    <tableColumn name="Link Akses" id="3"/>
    <tableColumn name="Ringkasan" id="4"/>
  </tableColumns>
  <tableStyleInfo name="01. Berita-style" showColumnStripes="0" showFirstColumn="1" showLastColumn="1" showRowStripes="1"/>
</table>
</file>

<file path=xl/tables/table3.xml><?xml version="1.0" encoding="utf-8"?>
<table xmlns="http://schemas.openxmlformats.org/spreadsheetml/2006/main" ref="A3:E15" displayName="List_Feature" name="List_Feature" id="3">
  <tableColumns count="5">
    <tableColumn name="No" id="1"/>
    <tableColumn name="Nama Fitur" id="2"/>
    <tableColumn name="Kategori Progress" id="3"/>
    <tableColumn name="Penjelasan &amp; Cara Kerja Fitur" id="4"/>
    <tableColumn name="Masalah yang Diselesaikan (5 Whys)" id="5"/>
  </tableColumns>
  <tableStyleInfo name="02. MVP-style" showColumnStripes="0" showFirstColumn="1" showLastColumn="1" showRowStripes="1"/>
</table>
</file>

<file path=xl/tables/table4.xml><?xml version="1.0" encoding="utf-8"?>
<table xmlns="http://schemas.openxmlformats.org/spreadsheetml/2006/main" ref="A1:H13" displayName="Priorization" name="Priorization" id="4">
  <tableColumns count="8">
    <tableColumn name="Nama Fitur" id="1"/>
    <tableColumn name="Reach (1-10)" id="2"/>
    <tableColumn name="Impact (0.5-3)" id="3"/>
    <tableColumn name="Confidence (%)" id="4"/>
    <tableColumn name="Effort (Weeks)" id="5"/>
    <tableColumn name="Skor RICE" id="6"/>
    <tableColumn name="Kategori MoSCoW" id="7"/>
    <tableColumn name="Stage Progress" id="8"/>
  </tableColumns>
  <tableStyleInfo name="03. Prioritization-style" showColumnStripes="0" showFirstColumn="1" showLastColumn="1" showRowStripes="1"/>
</table>
</file>

<file path=xl/tables/table5.xml><?xml version="1.0" encoding="utf-8"?>
<table xmlns="http://schemas.openxmlformats.org/spreadsheetml/2006/main" ref="A3:D9" displayName="Competitor_Analysis" name="Competitor_Analysis" id="5">
  <tableColumns count="4">
    <tableColumn name="Nama Kompetitor" id="1"/>
    <tableColumn name="Jenis Competitor" id="2"/>
    <tableColumn name="Deskripsi Aplikasi (Desc)" id="3"/>
    <tableColumn name="Kelemahan dibanding FIRELINE (Gap &amp; UVP)" id="4"/>
  </tableColumns>
  <tableStyleInfo name="Competitor Analysis-style" showColumnStripes="0" showFirstColumn="1" showLastColumn="1" showRowStripes="1"/>
</table>
</file>

<file path=xl/tables/table6.xml><?xml version="1.0" encoding="utf-8"?>
<table xmlns="http://schemas.openxmlformats.org/spreadsheetml/2006/main" ref="A1:D11" displayName="Calon_Solusi" name="Calon_Solusi" id="6">
  <tableColumns count="4">
    <tableColumn name="No" id="1"/>
    <tableColumn name="Solusi / Fitur" id="2"/>
    <tableColumn name="Fungsi Spesifik untuk Masyarakat" id="3"/>
    <tableColumn name="Komponen Problem Statement yang Dijawab" id="4"/>
  </tableColumns>
  <tableStyleInfo name="Calon Solusi-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ocs.google.com/document/d/1eU9y1V4EYuLNMAB6QI_byWHZg6UWdA2mGjGc4dChN08/edit?tab=t.0" TargetMode="External"/><Relationship Id="rId10" Type="http://schemas.openxmlformats.org/officeDocument/2006/relationships/hyperlink" Target="https://www.figma.com/board/kMimY2bZGOxFFK6yJK3p9f/-KEL.-X--Value-Effort-Matrix?node-id=0-1&amp;t=1LWnbFiPLBhGXnho-1" TargetMode="External"/><Relationship Id="rId13" Type="http://schemas.openxmlformats.org/officeDocument/2006/relationships/drawing" Target="../drawings/drawing1.xml"/><Relationship Id="rId12" Type="http://schemas.openxmlformats.org/officeDocument/2006/relationships/hyperlink" Target="http://compfest.link/SubmisiCaseStudyGNCF18" TargetMode="External"/><Relationship Id="rId1" Type="http://schemas.openxmlformats.org/officeDocument/2006/relationships/hyperlink" Target="https://docs.google.com/document/d/1TBfC2WeJQzpJXm73njMntCauXkNDzHhIK5ST0U6SFA4/edit?usp=sharing" TargetMode="External"/><Relationship Id="rId2" Type="http://schemas.openxmlformats.org/officeDocument/2006/relationships/hyperlink" Target="https://docs.google.com/document/d/1dRrqNIzUs47Vrdfz4kIdulyDSUbutt0RMWMxJ03nYik/edit?usp=sharing" TargetMode="External"/><Relationship Id="rId3" Type="http://schemas.openxmlformats.org/officeDocument/2006/relationships/hyperlink" Target="https://docs.google.com/document/d/18nk8i9SGcMpqtTbkLGSVJjxFtAk0L3u-WCKWmW4tSGM/edit?tab=t.0" TargetMode="External"/><Relationship Id="rId4" Type="http://schemas.openxmlformats.org/officeDocument/2006/relationships/hyperlink" Target="https://forms.gle/ot9w82Wbk3kknxXD9" TargetMode="External"/><Relationship Id="rId9" Type="http://schemas.openxmlformats.org/officeDocument/2006/relationships/hyperlink" Target="https://docs.google.com/document/d/1eU9y1V4EYuLNMAB6QI_byWHZg6UWdA2mGjGc4dChN08/edit?tab=t.0" TargetMode="External"/><Relationship Id="rId15" Type="http://schemas.openxmlformats.org/officeDocument/2006/relationships/table" Target="../tables/table1.xml"/><Relationship Id="rId5" Type="http://schemas.openxmlformats.org/officeDocument/2006/relationships/hyperlink" Target="https://www.figma.com/board/Wvwz4P76QVg3FXxULlPjDc/-KEL.-X--User-Interview?node-id=0-1&amp;t=ope4OWZEY58ERs3c-1" TargetMode="External"/><Relationship Id="rId6" Type="http://schemas.openxmlformats.org/officeDocument/2006/relationships/hyperlink" Target="https://www.figma.com/board/UXmWg6QOnEusENPC2OBDj9/-GAMMA--User-Interview?node-id=0-1" TargetMode="External"/><Relationship Id="rId7" Type="http://schemas.openxmlformats.org/officeDocument/2006/relationships/hyperlink" Target="https://www.google.com/url?q=https://www.figma.com/board/3khX2SZCpLOKdDsuqgbcih/-KEL.-X--User-Persona?node-id%3D0-1%26t%3DcJ5yaD6f0FiglccR-1&amp;sa=D&amp;source=editors&amp;ust=1787416186302968&amp;usg=AOvVaw15IIv2VG9uYnMIRe2UffGa" TargetMode="External"/><Relationship Id="rId8" Type="http://schemas.openxmlformats.org/officeDocument/2006/relationships/hyperlink" Target="https://www.figma.com/board/XIcblwlvp5S1cjJO4lsz6k/-KEL.-X--Solution?node-id=1-3&amp;t=70RkaCOQBQoEmzrW-1" TargetMode="External"/></Relationships>
</file>

<file path=xl/worksheets/_rels/sheet2.xml.rels><?xml version="1.0" encoding="UTF-8" standalone="yes"?><Relationships xmlns="http://schemas.openxmlformats.org/package/2006/relationships"><Relationship Id="rId11" Type="http://schemas.openxmlformats.org/officeDocument/2006/relationships/drawing" Target="../drawings/drawing2.xml"/><Relationship Id="rId10" Type="http://schemas.openxmlformats.org/officeDocument/2006/relationships/hyperlink" Target="https://rri.co.id/entikong/kesehatan/2690083/asap-karhutla-makin-pekat-warga-sanggau-mulai-resah" TargetMode="External"/><Relationship Id="rId13" Type="http://schemas.openxmlformats.org/officeDocument/2006/relationships/table" Target="../tables/table2.xml"/><Relationship Id="rId1" Type="http://schemas.openxmlformats.org/officeDocument/2006/relationships/hyperlink" Target="https://nasional.kompas.com/read/2026/08/28/17031171/kemenkes-55-juta-masyarakat-kalimantan-dan-sumatera-terdampak-karhutla-13500" TargetMode="External"/><Relationship Id="rId2" Type="http://schemas.openxmlformats.org/officeDocument/2006/relationships/hyperlink" Target="https://www.kemkes.go.id/id/kemenkes-perkuat-perlindungan-kelompok-rentan-hadapi-karhutla" TargetMode="External"/><Relationship Id="rId3" Type="http://schemas.openxmlformats.org/officeDocument/2006/relationships/hyperlink" Target="https://www.kemkes.go.id/id/kemenkes-perkuat-perlindungan-kelompok-rentan-hadapi-karhutla" TargetMode="External"/><Relationship Id="rId4" Type="http://schemas.openxmlformats.org/officeDocument/2006/relationships/hyperlink" Target="https://www.cnbcindonesia.com/research/20260824093442-128-761828/200000-lahan-hutan-ri-terbakar-tahun-ini-terburuk-sejak-kapan" TargetMode="External"/><Relationship Id="rId9" Type="http://schemas.openxmlformats.org/officeDocument/2006/relationships/hyperlink" Target="https://mattanews.co/lihat-titik-api-jangan-diam-kapolres-kapuas-hulu-segera-lapor-110-cegah-karhutla-sebelum-meluas/" TargetMode="External"/><Relationship Id="rId5" Type="http://schemas.openxmlformats.org/officeDocument/2006/relationships/hyperlink" Target="https://regional.kompas.com/read/2026/08/28/140158878/karhutla-memburuk-dua-daerah-di-riau-tetapkan-status-tanggap-darurat?source=terkini_artikel" TargetMode="External"/><Relationship Id="rId6" Type="http://schemas.openxmlformats.org/officeDocument/2006/relationships/hyperlink" Target="https://news.detik.com/berita/d-8639139/kasus-ispa-di-kalbar-capai-165-ribu-akibat-karhutla" TargetMode="External"/><Relationship Id="rId7" Type="http://schemas.openxmlformats.org/officeDocument/2006/relationships/hyperlink" Target="https://www.antaranews.com/berita/5679527/guru-besar-itb-mekanisme-aksi-dini-hadapi-el-nino-perlu-diperkuat" TargetMode="External"/><Relationship Id="rId8" Type="http://schemas.openxmlformats.org/officeDocument/2006/relationships/hyperlink" Target="https://www.antaranews.com/berita/5679527/guru-besar-itb-mekanisme-aksi-dini-hadapi-el-nino-perlu-diperkuat"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petabencana.id" TargetMode="External"/><Relationship Id="rId2" Type="http://schemas.openxmlformats.org/officeDocument/2006/relationships/drawing" Target="../drawings/drawing6.xml"/><Relationship Id="rId4"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8.38"/>
    <col customWidth="1" min="2" max="2" width="30.5"/>
    <col customWidth="1" min="3" max="3" width="30.75"/>
    <col customWidth="1" min="4" max="26" width="30.5"/>
  </cols>
  <sheetData>
    <row r="1" ht="22.5" customHeight="1">
      <c r="A1" s="3" t="s">
        <v>0</v>
      </c>
      <c r="B1" s="3" t="s">
        <v>2</v>
      </c>
      <c r="C1" s="3" t="s">
        <v>5</v>
      </c>
      <c r="D1" s="3" t="s">
        <v>9</v>
      </c>
      <c r="E1" s="3" t="s">
        <v>15</v>
      </c>
      <c r="F1" s="3" t="s">
        <v>18</v>
      </c>
      <c r="G1" s="3" t="s">
        <v>21</v>
      </c>
      <c r="H1" s="3" t="s">
        <v>26</v>
      </c>
      <c r="I1" s="3" t="s">
        <v>28</v>
      </c>
      <c r="J1" s="3" t="s">
        <v>30</v>
      </c>
      <c r="K1" s="13" t="s">
        <v>31</v>
      </c>
      <c r="L1" s="15"/>
      <c r="M1" s="15"/>
      <c r="N1" s="15"/>
      <c r="O1" s="15"/>
      <c r="P1" s="15"/>
      <c r="Q1" s="15"/>
      <c r="R1" s="15"/>
      <c r="S1" s="15"/>
      <c r="T1" s="15"/>
      <c r="U1" s="15"/>
      <c r="V1" s="15"/>
      <c r="W1" s="15"/>
      <c r="X1" s="15"/>
      <c r="Y1" s="15"/>
      <c r="Z1" s="15"/>
    </row>
    <row r="2" ht="22.5" customHeight="1">
      <c r="A2" s="17">
        <v>1.0</v>
      </c>
      <c r="B2" s="17" t="s">
        <v>35</v>
      </c>
      <c r="C2" s="19" t="s">
        <v>37</v>
      </c>
      <c r="D2" s="20"/>
      <c r="E2" s="19" t="s">
        <v>49</v>
      </c>
      <c r="F2" s="21">
        <v>46260.0</v>
      </c>
      <c r="G2" s="21">
        <v>46264.0</v>
      </c>
      <c r="H2" s="23"/>
      <c r="I2" s="24"/>
      <c r="J2" s="20"/>
      <c r="K2" s="25"/>
      <c r="L2" s="15"/>
      <c r="M2" s="15"/>
      <c r="N2" s="15"/>
      <c r="O2" s="15"/>
      <c r="P2" s="15"/>
      <c r="Q2" s="15"/>
      <c r="R2" s="15"/>
      <c r="S2" s="15"/>
      <c r="T2" s="15"/>
      <c r="U2" s="15"/>
      <c r="V2" s="15"/>
      <c r="W2" s="15"/>
      <c r="X2" s="15"/>
      <c r="Y2" s="15"/>
      <c r="Z2" s="15"/>
    </row>
    <row r="3" ht="22.5" customHeight="1">
      <c r="A3" s="17">
        <v>2.0</v>
      </c>
      <c r="B3" s="17" t="s">
        <v>67</v>
      </c>
      <c r="C3" s="19" t="s">
        <v>69</v>
      </c>
      <c r="D3" s="19" t="s">
        <v>71</v>
      </c>
      <c r="E3" s="19" t="s">
        <v>49</v>
      </c>
      <c r="F3" s="21">
        <v>46260.0</v>
      </c>
      <c r="G3" s="21">
        <v>46264.0</v>
      </c>
      <c r="H3" s="24"/>
      <c r="I3" s="24"/>
      <c r="J3" s="20"/>
      <c r="K3" s="25"/>
      <c r="L3" s="15"/>
      <c r="M3" s="15"/>
      <c r="N3" s="15"/>
      <c r="O3" s="15"/>
      <c r="P3" s="15"/>
      <c r="Q3" s="15"/>
      <c r="R3" s="15"/>
      <c r="S3" s="15"/>
      <c r="T3" s="15"/>
      <c r="U3" s="15"/>
      <c r="V3" s="15"/>
      <c r="W3" s="15"/>
      <c r="X3" s="15"/>
      <c r="Y3" s="15"/>
      <c r="Z3" s="15"/>
    </row>
    <row r="4" ht="22.5" customHeight="1">
      <c r="A4" s="17">
        <v>3.0</v>
      </c>
      <c r="B4" s="17" t="s">
        <v>80</v>
      </c>
      <c r="C4" s="19" t="s">
        <v>69</v>
      </c>
      <c r="D4" s="19" t="s">
        <v>82</v>
      </c>
      <c r="E4" s="19" t="s">
        <v>49</v>
      </c>
      <c r="F4" s="21">
        <v>46260.0</v>
      </c>
      <c r="G4" s="21">
        <v>46264.0</v>
      </c>
      <c r="H4" s="24"/>
      <c r="I4" s="24"/>
      <c r="J4" s="20"/>
      <c r="K4" s="25"/>
      <c r="L4" s="15"/>
      <c r="M4" s="15"/>
      <c r="N4" s="15"/>
      <c r="O4" s="15"/>
      <c r="P4" s="15"/>
      <c r="Q4" s="15"/>
      <c r="R4" s="15"/>
      <c r="S4" s="15"/>
      <c r="T4" s="15"/>
      <c r="U4" s="15"/>
      <c r="V4" s="15"/>
      <c r="W4" s="15"/>
      <c r="X4" s="15"/>
      <c r="Y4" s="15"/>
      <c r="Z4" s="15"/>
    </row>
    <row r="5" ht="22.5" customHeight="1">
      <c r="A5" s="17">
        <v>4.0</v>
      </c>
      <c r="B5" s="17" t="s">
        <v>95</v>
      </c>
      <c r="C5" s="19" t="s">
        <v>69</v>
      </c>
      <c r="D5" s="19" t="s">
        <v>101</v>
      </c>
      <c r="E5" s="19" t="s">
        <v>49</v>
      </c>
      <c r="F5" s="21">
        <v>46260.0</v>
      </c>
      <c r="G5" s="21">
        <v>46264.0</v>
      </c>
      <c r="H5" s="24"/>
      <c r="I5" s="24"/>
      <c r="J5" s="20"/>
      <c r="K5" s="29" t="s">
        <v>109</v>
      </c>
      <c r="L5" s="15"/>
      <c r="M5" s="15"/>
      <c r="N5" s="15"/>
      <c r="O5" s="15"/>
      <c r="P5" s="15"/>
      <c r="Q5" s="15"/>
      <c r="R5" s="15"/>
      <c r="S5" s="15"/>
      <c r="T5" s="15"/>
      <c r="U5" s="15"/>
      <c r="V5" s="15"/>
      <c r="W5" s="15"/>
      <c r="X5" s="15"/>
      <c r="Y5" s="15"/>
      <c r="Z5" s="15"/>
    </row>
    <row r="6" ht="22.5" customHeight="1">
      <c r="A6" s="17">
        <v>5.0</v>
      </c>
      <c r="B6" s="17" t="s">
        <v>111</v>
      </c>
      <c r="C6" s="19" t="s">
        <v>112</v>
      </c>
      <c r="D6" s="19" t="s">
        <v>113</v>
      </c>
      <c r="E6" s="19" t="s">
        <v>49</v>
      </c>
      <c r="F6" s="21">
        <v>46260.0</v>
      </c>
      <c r="G6" s="21">
        <v>46264.0</v>
      </c>
      <c r="H6" s="30" t="s">
        <v>114</v>
      </c>
      <c r="I6" s="32" t="s">
        <v>115</v>
      </c>
      <c r="J6" s="19" t="s">
        <v>118</v>
      </c>
      <c r="K6" s="34" t="s">
        <v>121</v>
      </c>
      <c r="L6" s="15"/>
      <c r="M6" s="15"/>
      <c r="N6" s="15"/>
      <c r="O6" s="15"/>
      <c r="P6" s="15"/>
      <c r="Q6" s="15"/>
      <c r="R6" s="15"/>
      <c r="S6" s="15"/>
      <c r="T6" s="15"/>
      <c r="U6" s="15"/>
      <c r="V6" s="15"/>
      <c r="W6" s="15"/>
      <c r="X6" s="15"/>
      <c r="Y6" s="15"/>
      <c r="Z6" s="15"/>
    </row>
    <row r="7" ht="22.5" customHeight="1">
      <c r="A7" s="17">
        <v>6.0</v>
      </c>
      <c r="B7" s="17" t="s">
        <v>122</v>
      </c>
      <c r="C7" s="19" t="s">
        <v>112</v>
      </c>
      <c r="D7" s="19" t="s">
        <v>123</v>
      </c>
      <c r="E7" s="19" t="s">
        <v>49</v>
      </c>
      <c r="F7" s="21">
        <v>46260.0</v>
      </c>
      <c r="G7" s="21">
        <v>46264.0</v>
      </c>
      <c r="H7" s="24"/>
      <c r="I7" s="35" t="s">
        <v>124</v>
      </c>
      <c r="J7" s="19" t="s">
        <v>118</v>
      </c>
      <c r="K7" s="36"/>
      <c r="L7" s="15"/>
      <c r="M7" s="15"/>
      <c r="N7" s="15"/>
      <c r="O7" s="15"/>
      <c r="P7" s="15"/>
      <c r="Q7" s="15"/>
      <c r="R7" s="15"/>
      <c r="S7" s="15"/>
      <c r="T7" s="15"/>
      <c r="U7" s="15"/>
      <c r="V7" s="15"/>
      <c r="W7" s="15"/>
      <c r="X7" s="15"/>
      <c r="Y7" s="15"/>
      <c r="Z7" s="15"/>
    </row>
    <row r="8" ht="22.5" customHeight="1">
      <c r="A8" s="17">
        <v>7.0</v>
      </c>
      <c r="B8" s="17" t="s">
        <v>128</v>
      </c>
      <c r="C8" s="19" t="s">
        <v>112</v>
      </c>
      <c r="D8" s="19" t="s">
        <v>123</v>
      </c>
      <c r="E8" s="19" t="s">
        <v>49</v>
      </c>
      <c r="F8" s="21">
        <v>46260.0</v>
      </c>
      <c r="G8" s="21">
        <v>46264.0</v>
      </c>
      <c r="H8" s="35" t="s">
        <v>151</v>
      </c>
      <c r="I8" s="35" t="s">
        <v>157</v>
      </c>
      <c r="J8" s="19" t="s">
        <v>118</v>
      </c>
      <c r="K8" s="36"/>
      <c r="L8" s="15"/>
      <c r="M8" s="15"/>
      <c r="N8" s="15"/>
      <c r="O8" s="15"/>
      <c r="P8" s="15"/>
      <c r="Q8" s="15"/>
      <c r="R8" s="15"/>
      <c r="S8" s="15"/>
      <c r="T8" s="15"/>
      <c r="U8" s="15"/>
      <c r="V8" s="15"/>
      <c r="W8" s="15"/>
      <c r="X8" s="15"/>
      <c r="Y8" s="15"/>
      <c r="Z8" s="15"/>
    </row>
    <row r="9" ht="22.5" customHeight="1">
      <c r="A9" s="17">
        <v>8.0</v>
      </c>
      <c r="B9" s="17" t="s">
        <v>158</v>
      </c>
      <c r="C9" s="19" t="s">
        <v>112</v>
      </c>
      <c r="D9" s="20"/>
      <c r="E9" s="19" t="s">
        <v>49</v>
      </c>
      <c r="F9" s="21">
        <v>46260.0</v>
      </c>
      <c r="G9" s="21">
        <v>46264.0</v>
      </c>
      <c r="H9" s="35" t="s">
        <v>163</v>
      </c>
      <c r="I9" s="24"/>
      <c r="J9" s="20"/>
      <c r="K9" s="25"/>
      <c r="L9" s="15"/>
      <c r="M9" s="15"/>
      <c r="N9" s="15"/>
      <c r="O9" s="15"/>
      <c r="P9" s="15"/>
      <c r="Q9" s="15"/>
      <c r="R9" s="15"/>
      <c r="S9" s="15"/>
      <c r="T9" s="15"/>
      <c r="U9" s="15"/>
      <c r="V9" s="15"/>
      <c r="W9" s="15"/>
      <c r="X9" s="15"/>
      <c r="Y9" s="15"/>
      <c r="Z9" s="15"/>
    </row>
    <row r="10" ht="22.5" customHeight="1">
      <c r="A10" s="17">
        <v>9.0</v>
      </c>
      <c r="B10" s="17" t="s">
        <v>188</v>
      </c>
      <c r="C10" s="19" t="s">
        <v>37</v>
      </c>
      <c r="D10" s="20"/>
      <c r="E10" s="19" t="s">
        <v>49</v>
      </c>
      <c r="F10" s="21">
        <v>46260.0</v>
      </c>
      <c r="G10" s="21">
        <v>46264.0</v>
      </c>
      <c r="H10" s="24"/>
      <c r="I10" s="24"/>
      <c r="J10" s="20"/>
      <c r="K10" s="25"/>
      <c r="L10" s="15"/>
      <c r="M10" s="15"/>
      <c r="N10" s="15"/>
      <c r="O10" s="15"/>
      <c r="P10" s="15"/>
      <c r="Q10" s="15"/>
      <c r="R10" s="15"/>
      <c r="S10" s="15"/>
      <c r="T10" s="15"/>
      <c r="U10" s="15"/>
      <c r="V10" s="15"/>
      <c r="W10" s="15"/>
      <c r="X10" s="15"/>
      <c r="Y10" s="15"/>
      <c r="Z10" s="15"/>
    </row>
    <row r="11" ht="22.5" customHeight="1">
      <c r="A11" s="17">
        <v>10.0</v>
      </c>
      <c r="B11" s="17" t="s">
        <v>207</v>
      </c>
      <c r="C11" s="19" t="s">
        <v>37</v>
      </c>
      <c r="D11" s="20"/>
      <c r="E11" s="19" t="s">
        <v>49</v>
      </c>
      <c r="F11" s="21">
        <v>46260.0</v>
      </c>
      <c r="G11" s="21">
        <v>46264.0</v>
      </c>
      <c r="H11" s="32" t="s">
        <v>213</v>
      </c>
      <c r="I11" s="24"/>
      <c r="J11" s="20"/>
      <c r="K11" s="25"/>
      <c r="L11" s="15"/>
      <c r="M11" s="15"/>
      <c r="N11" s="15"/>
      <c r="O11" s="15"/>
      <c r="P11" s="15"/>
      <c r="Q11" s="15"/>
      <c r="R11" s="15"/>
      <c r="S11" s="15"/>
      <c r="T11" s="15"/>
      <c r="U11" s="15"/>
      <c r="V11" s="15"/>
      <c r="W11" s="15"/>
      <c r="X11" s="15"/>
      <c r="Y11" s="15"/>
      <c r="Z11" s="15"/>
    </row>
    <row r="12" ht="22.5" customHeight="1">
      <c r="A12" s="17">
        <v>11.0</v>
      </c>
      <c r="B12" s="17" t="s">
        <v>249</v>
      </c>
      <c r="C12" s="19" t="s">
        <v>37</v>
      </c>
      <c r="D12" s="20"/>
      <c r="E12" s="19" t="s">
        <v>49</v>
      </c>
      <c r="F12" s="21">
        <v>46260.0</v>
      </c>
      <c r="G12" s="21">
        <v>46264.0</v>
      </c>
      <c r="H12" s="53" t="s">
        <v>250</v>
      </c>
      <c r="I12" s="17" t="s">
        <v>251</v>
      </c>
      <c r="J12" s="20"/>
      <c r="K12" s="25"/>
      <c r="L12" s="15"/>
      <c r="M12" s="15"/>
      <c r="N12" s="15"/>
      <c r="O12" s="15"/>
      <c r="P12" s="15"/>
      <c r="Q12" s="15"/>
      <c r="R12" s="15"/>
      <c r="S12" s="15"/>
      <c r="T12" s="15"/>
      <c r="U12" s="15"/>
      <c r="V12" s="15"/>
      <c r="W12" s="15"/>
      <c r="X12" s="15"/>
      <c r="Y12" s="15"/>
      <c r="Z12" s="15"/>
    </row>
    <row r="13" ht="22.5" customHeight="1">
      <c r="A13" s="17">
        <v>12.0</v>
      </c>
      <c r="B13" s="17" t="s">
        <v>226</v>
      </c>
      <c r="C13" s="19" t="s">
        <v>37</v>
      </c>
      <c r="D13" s="20"/>
      <c r="E13" s="19" t="s">
        <v>49</v>
      </c>
      <c r="F13" s="21">
        <v>46260.0</v>
      </c>
      <c r="G13" s="21">
        <v>46264.0</v>
      </c>
      <c r="H13" s="35" t="s">
        <v>252</v>
      </c>
      <c r="I13" s="17" t="s">
        <v>253</v>
      </c>
      <c r="J13" s="20"/>
      <c r="K13" s="25"/>
      <c r="L13" s="15"/>
      <c r="M13" s="15"/>
      <c r="N13" s="15"/>
      <c r="O13" s="15"/>
      <c r="P13" s="15"/>
      <c r="Q13" s="15"/>
      <c r="R13" s="15"/>
      <c r="S13" s="15"/>
      <c r="T13" s="15"/>
      <c r="U13" s="15"/>
      <c r="V13" s="15"/>
      <c r="W13" s="15"/>
      <c r="X13" s="15"/>
      <c r="Y13" s="15"/>
      <c r="Z13" s="15"/>
    </row>
    <row r="14" ht="22.5" customHeight="1">
      <c r="A14" s="17">
        <v>13.0</v>
      </c>
      <c r="B14" s="17" t="s">
        <v>254</v>
      </c>
      <c r="C14" s="19" t="s">
        <v>37</v>
      </c>
      <c r="D14" s="20"/>
      <c r="E14" s="19" t="s">
        <v>49</v>
      </c>
      <c r="F14" s="21">
        <v>46260.0</v>
      </c>
      <c r="G14" s="21">
        <v>46264.0</v>
      </c>
      <c r="H14" s="24"/>
      <c r="I14" s="24"/>
      <c r="J14" s="20"/>
      <c r="K14" s="25"/>
      <c r="L14" s="15"/>
      <c r="M14" s="15"/>
      <c r="N14" s="15"/>
      <c r="O14" s="15"/>
      <c r="P14" s="15"/>
      <c r="Q14" s="15"/>
      <c r="R14" s="15"/>
      <c r="S14" s="15"/>
      <c r="T14" s="15"/>
      <c r="U14" s="15"/>
      <c r="V14" s="15"/>
      <c r="W14" s="15"/>
      <c r="X14" s="15"/>
      <c r="Y14" s="15"/>
      <c r="Z14" s="15"/>
    </row>
    <row r="15" ht="22.5" customHeight="1">
      <c r="A15" s="17">
        <v>14.0</v>
      </c>
      <c r="B15" s="17" t="s">
        <v>242</v>
      </c>
      <c r="C15" s="19" t="s">
        <v>37</v>
      </c>
      <c r="D15" s="20"/>
      <c r="E15" s="19" t="s">
        <v>49</v>
      </c>
      <c r="F15" s="21">
        <v>46260.0</v>
      </c>
      <c r="G15" s="21">
        <v>46264.0</v>
      </c>
      <c r="H15" s="24"/>
      <c r="I15" s="24"/>
      <c r="J15" s="20"/>
      <c r="K15" s="25"/>
      <c r="L15" s="15"/>
      <c r="M15" s="15"/>
      <c r="N15" s="15"/>
      <c r="O15" s="15"/>
      <c r="P15" s="15"/>
      <c r="Q15" s="15"/>
      <c r="R15" s="15"/>
      <c r="S15" s="15"/>
      <c r="T15" s="15"/>
      <c r="U15" s="15"/>
      <c r="V15" s="15"/>
      <c r="W15" s="15"/>
      <c r="X15" s="15"/>
      <c r="Y15" s="15"/>
      <c r="Z15" s="15"/>
    </row>
    <row r="16" ht="22.5" customHeight="1">
      <c r="A16" s="17">
        <v>15.0</v>
      </c>
      <c r="B16" s="17" t="s">
        <v>237</v>
      </c>
      <c r="C16" s="19" t="s">
        <v>37</v>
      </c>
      <c r="D16" s="20"/>
      <c r="E16" s="19" t="s">
        <v>49</v>
      </c>
      <c r="F16" s="21">
        <v>46260.0</v>
      </c>
      <c r="G16" s="21">
        <v>46264.0</v>
      </c>
      <c r="H16" s="24"/>
      <c r="I16" s="24"/>
      <c r="J16" s="20"/>
      <c r="K16" s="25"/>
      <c r="L16" s="15"/>
      <c r="M16" s="15"/>
      <c r="N16" s="15"/>
      <c r="O16" s="15"/>
      <c r="P16" s="15"/>
      <c r="Q16" s="15"/>
      <c r="R16" s="15"/>
      <c r="S16" s="15"/>
      <c r="T16" s="15"/>
      <c r="U16" s="15"/>
      <c r="V16" s="15"/>
      <c r="W16" s="15"/>
      <c r="X16" s="15"/>
      <c r="Y16" s="15"/>
      <c r="Z16" s="15"/>
    </row>
    <row r="17" ht="22.5" customHeight="1">
      <c r="A17" s="17">
        <v>16.0</v>
      </c>
      <c r="B17" s="54" t="s">
        <v>255</v>
      </c>
      <c r="C17" s="19" t="s">
        <v>112</v>
      </c>
      <c r="D17" s="20"/>
      <c r="E17" s="19" t="s">
        <v>49</v>
      </c>
      <c r="F17" s="21">
        <v>46260.0</v>
      </c>
      <c r="G17" s="21">
        <v>46264.0</v>
      </c>
      <c r="H17" s="24"/>
      <c r="I17" s="24"/>
      <c r="J17" s="20"/>
      <c r="K17" s="25"/>
      <c r="L17" s="15"/>
      <c r="M17" s="15"/>
      <c r="N17" s="15"/>
      <c r="O17" s="15"/>
      <c r="P17" s="15"/>
      <c r="Q17" s="15"/>
      <c r="R17" s="15"/>
      <c r="S17" s="15"/>
      <c r="T17" s="15"/>
      <c r="U17" s="15"/>
      <c r="V17" s="15"/>
      <c r="W17" s="15"/>
      <c r="X17" s="15"/>
      <c r="Y17" s="15"/>
      <c r="Z17" s="15"/>
    </row>
    <row r="18" ht="22.5" customHeight="1">
      <c r="A18" s="17">
        <v>17.0</v>
      </c>
      <c r="B18" s="17" t="s">
        <v>256</v>
      </c>
      <c r="C18" s="19" t="s">
        <v>112</v>
      </c>
      <c r="D18" s="20"/>
      <c r="E18" s="19" t="s">
        <v>49</v>
      </c>
      <c r="F18" s="21">
        <v>46260.0</v>
      </c>
      <c r="G18" s="21">
        <v>46264.0</v>
      </c>
      <c r="H18" s="24"/>
      <c r="I18" s="24"/>
      <c r="J18" s="20"/>
      <c r="K18" s="25"/>
      <c r="L18" s="15"/>
      <c r="M18" s="15"/>
      <c r="N18" s="15"/>
      <c r="O18" s="15"/>
      <c r="P18" s="15"/>
      <c r="Q18" s="15"/>
      <c r="R18" s="15"/>
      <c r="S18" s="15"/>
      <c r="T18" s="15"/>
      <c r="U18" s="15"/>
      <c r="V18" s="15"/>
      <c r="W18" s="15"/>
      <c r="X18" s="15"/>
      <c r="Y18" s="15"/>
      <c r="Z18" s="15"/>
    </row>
    <row r="19" ht="22.5" customHeight="1">
      <c r="A19" s="17">
        <v>18.0</v>
      </c>
      <c r="B19" s="17" t="s">
        <v>257</v>
      </c>
      <c r="C19" s="19" t="s">
        <v>37</v>
      </c>
      <c r="D19" s="20"/>
      <c r="E19" s="19" t="s">
        <v>258</v>
      </c>
      <c r="F19" s="21">
        <v>46265.0</v>
      </c>
      <c r="G19" s="21">
        <v>46270.0</v>
      </c>
      <c r="H19" s="53" t="s">
        <v>250</v>
      </c>
      <c r="I19" s="24"/>
      <c r="J19" s="20"/>
      <c r="K19" s="25"/>
      <c r="L19" s="15"/>
      <c r="M19" s="15"/>
      <c r="N19" s="15"/>
      <c r="O19" s="15"/>
      <c r="P19" s="15"/>
      <c r="Q19" s="15"/>
      <c r="R19" s="15"/>
      <c r="S19" s="15"/>
      <c r="T19" s="15"/>
      <c r="U19" s="15"/>
      <c r="V19" s="15"/>
      <c r="W19" s="15"/>
      <c r="X19" s="15"/>
      <c r="Y19" s="15"/>
      <c r="Z19" s="15"/>
    </row>
    <row r="20" ht="22.5" customHeight="1">
      <c r="A20" s="17">
        <v>19.0</v>
      </c>
      <c r="B20" s="17" t="s">
        <v>259</v>
      </c>
      <c r="C20" s="19" t="s">
        <v>214</v>
      </c>
      <c r="D20" s="20"/>
      <c r="E20" s="19" t="s">
        <v>258</v>
      </c>
      <c r="F20" s="21">
        <v>46265.0</v>
      </c>
      <c r="G20" s="21">
        <v>46270.0</v>
      </c>
      <c r="H20" s="24"/>
      <c r="I20" s="24"/>
      <c r="J20" s="20"/>
      <c r="K20" s="25"/>
      <c r="L20" s="15"/>
      <c r="M20" s="15"/>
      <c r="N20" s="15"/>
      <c r="O20" s="15"/>
      <c r="P20" s="15"/>
      <c r="Q20" s="15"/>
      <c r="R20" s="15"/>
      <c r="S20" s="15"/>
      <c r="T20" s="15"/>
      <c r="U20" s="15"/>
      <c r="V20" s="15"/>
      <c r="W20" s="15"/>
      <c r="X20" s="15"/>
      <c r="Y20" s="15"/>
      <c r="Z20" s="15"/>
    </row>
    <row r="21" ht="22.5" customHeight="1">
      <c r="A21" s="17">
        <v>20.0</v>
      </c>
      <c r="B21" s="17" t="s">
        <v>260</v>
      </c>
      <c r="C21" s="19" t="s">
        <v>214</v>
      </c>
      <c r="D21" s="19" t="s">
        <v>261</v>
      </c>
      <c r="E21" s="19" t="s">
        <v>258</v>
      </c>
      <c r="F21" s="21">
        <v>46265.0</v>
      </c>
      <c r="G21" s="21">
        <v>46270.0</v>
      </c>
      <c r="H21" s="24"/>
      <c r="I21" s="24"/>
      <c r="J21" s="20"/>
      <c r="K21" s="25"/>
      <c r="L21" s="15"/>
      <c r="M21" s="15"/>
      <c r="N21" s="15"/>
      <c r="O21" s="15"/>
      <c r="P21" s="15"/>
      <c r="Q21" s="15"/>
      <c r="R21" s="15"/>
      <c r="S21" s="15"/>
      <c r="T21" s="15"/>
      <c r="U21" s="15"/>
      <c r="V21" s="15"/>
      <c r="W21" s="15"/>
      <c r="X21" s="15"/>
      <c r="Y21" s="15"/>
      <c r="Z21" s="15"/>
    </row>
    <row r="22" ht="22.5" customHeight="1">
      <c r="A22" s="17">
        <v>21.0</v>
      </c>
      <c r="B22" s="17" t="s">
        <v>262</v>
      </c>
      <c r="C22" s="19" t="s">
        <v>214</v>
      </c>
      <c r="D22" s="19" t="s">
        <v>263</v>
      </c>
      <c r="E22" s="19" t="s">
        <v>258</v>
      </c>
      <c r="F22" s="21">
        <v>46265.0</v>
      </c>
      <c r="G22" s="21">
        <v>46270.0</v>
      </c>
      <c r="H22" s="24"/>
      <c r="I22" s="24"/>
      <c r="J22" s="20"/>
      <c r="K22" s="25"/>
      <c r="L22" s="15"/>
      <c r="M22" s="15"/>
      <c r="N22" s="15"/>
      <c r="O22" s="15"/>
      <c r="P22" s="15"/>
      <c r="Q22" s="15"/>
      <c r="R22" s="15"/>
      <c r="S22" s="15"/>
      <c r="T22" s="15"/>
      <c r="U22" s="15"/>
      <c r="V22" s="15"/>
      <c r="W22" s="15"/>
      <c r="X22" s="15"/>
      <c r="Y22" s="15"/>
      <c r="Z22" s="15"/>
    </row>
    <row r="23" ht="22.5" customHeight="1">
      <c r="A23" s="17">
        <v>22.0</v>
      </c>
      <c r="B23" s="17" t="s">
        <v>264</v>
      </c>
      <c r="C23" s="19" t="s">
        <v>214</v>
      </c>
      <c r="D23" s="19" t="s">
        <v>261</v>
      </c>
      <c r="E23" s="19" t="s">
        <v>258</v>
      </c>
      <c r="F23" s="21">
        <v>46265.0</v>
      </c>
      <c r="G23" s="21">
        <v>46270.0</v>
      </c>
      <c r="H23" s="24"/>
      <c r="I23" s="24"/>
      <c r="J23" s="20"/>
      <c r="K23" s="25"/>
      <c r="L23" s="15"/>
      <c r="M23" s="15"/>
      <c r="N23" s="15"/>
      <c r="O23" s="15"/>
      <c r="P23" s="15"/>
      <c r="Q23" s="15"/>
      <c r="R23" s="15"/>
      <c r="S23" s="15"/>
      <c r="T23" s="15"/>
      <c r="U23" s="15"/>
      <c r="V23" s="15"/>
      <c r="W23" s="15"/>
      <c r="X23" s="15"/>
      <c r="Y23" s="15"/>
      <c r="Z23" s="15"/>
    </row>
    <row r="24" ht="22.5" customHeight="1">
      <c r="A24" s="17">
        <v>23.0</v>
      </c>
      <c r="B24" s="17" t="s">
        <v>235</v>
      </c>
      <c r="C24" s="19" t="s">
        <v>214</v>
      </c>
      <c r="D24" s="20"/>
      <c r="E24" s="19" t="s">
        <v>258</v>
      </c>
      <c r="F24" s="21">
        <v>46265.0</v>
      </c>
      <c r="G24" s="21">
        <v>46270.0</v>
      </c>
      <c r="H24" s="24"/>
      <c r="I24" s="24"/>
      <c r="J24" s="20"/>
      <c r="K24" s="25"/>
      <c r="L24" s="15"/>
      <c r="M24" s="15"/>
      <c r="N24" s="15"/>
      <c r="O24" s="15"/>
      <c r="P24" s="15"/>
      <c r="Q24" s="15"/>
      <c r="R24" s="15"/>
      <c r="S24" s="15"/>
      <c r="T24" s="15"/>
      <c r="U24" s="15"/>
      <c r="V24" s="15"/>
      <c r="W24" s="15"/>
      <c r="X24" s="15"/>
      <c r="Y24" s="15"/>
      <c r="Z24" s="15"/>
    </row>
    <row r="25" ht="22.5" customHeight="1">
      <c r="A25" s="17">
        <v>24.0</v>
      </c>
      <c r="B25" s="55" t="s">
        <v>265</v>
      </c>
      <c r="C25" s="56" t="s">
        <v>112</v>
      </c>
      <c r="D25" s="57"/>
      <c r="E25" s="56" t="s">
        <v>258</v>
      </c>
      <c r="F25" s="58">
        <v>46265.0</v>
      </c>
      <c r="G25" s="21">
        <v>46270.0</v>
      </c>
      <c r="H25" s="59"/>
      <c r="I25" s="59"/>
      <c r="J25" s="20"/>
      <c r="K25" s="25"/>
      <c r="L25" s="15"/>
      <c r="M25" s="15"/>
      <c r="N25" s="15"/>
      <c r="O25" s="15"/>
      <c r="P25" s="15"/>
      <c r="Q25" s="15"/>
      <c r="R25" s="15"/>
      <c r="S25" s="15"/>
      <c r="T25" s="15"/>
      <c r="U25" s="15"/>
      <c r="V25" s="15"/>
      <c r="W25" s="15"/>
      <c r="X25" s="15"/>
      <c r="Y25" s="15"/>
      <c r="Z25" s="15"/>
    </row>
    <row r="26" ht="22.5" customHeight="1">
      <c r="A26" s="17">
        <v>25.0</v>
      </c>
      <c r="B26" s="17" t="s">
        <v>244</v>
      </c>
      <c r="C26" s="19" t="s">
        <v>37</v>
      </c>
      <c r="D26" s="20"/>
      <c r="E26" s="19" t="s">
        <v>266</v>
      </c>
      <c r="F26" s="21">
        <v>46272.0</v>
      </c>
      <c r="G26" s="21">
        <v>46277.0</v>
      </c>
      <c r="H26" s="24"/>
      <c r="I26" s="24"/>
      <c r="J26" s="20"/>
      <c r="K26" s="25"/>
      <c r="L26" s="15"/>
      <c r="M26" s="15"/>
      <c r="N26" s="15"/>
      <c r="O26" s="15"/>
      <c r="P26" s="15"/>
      <c r="Q26" s="15"/>
      <c r="R26" s="15"/>
      <c r="S26" s="15"/>
      <c r="T26" s="15"/>
      <c r="U26" s="15"/>
      <c r="V26" s="15"/>
      <c r="W26" s="15"/>
      <c r="X26" s="15"/>
      <c r="Y26" s="15"/>
      <c r="Z26" s="15"/>
    </row>
    <row r="27" ht="22.5" customHeight="1">
      <c r="A27" s="17">
        <v>26.0</v>
      </c>
      <c r="B27" s="17" t="s">
        <v>267</v>
      </c>
      <c r="C27" s="19" t="s">
        <v>112</v>
      </c>
      <c r="D27" s="20"/>
      <c r="E27" s="19" t="s">
        <v>266</v>
      </c>
      <c r="F27" s="21">
        <v>46272.0</v>
      </c>
      <c r="G27" s="21">
        <v>46277.0</v>
      </c>
      <c r="H27" s="24"/>
      <c r="I27" s="24"/>
      <c r="J27" s="20"/>
      <c r="K27" s="25"/>
      <c r="L27" s="15"/>
      <c r="M27" s="15"/>
      <c r="N27" s="15"/>
      <c r="O27" s="15"/>
      <c r="P27" s="15"/>
      <c r="Q27" s="15"/>
      <c r="R27" s="15"/>
      <c r="S27" s="15"/>
      <c r="T27" s="15"/>
      <c r="U27" s="15"/>
      <c r="V27" s="15"/>
      <c r="W27" s="15"/>
      <c r="X27" s="15"/>
      <c r="Y27" s="15"/>
      <c r="Z27" s="15"/>
    </row>
    <row r="28" ht="22.5" customHeight="1">
      <c r="A28" s="17">
        <v>27.0</v>
      </c>
      <c r="B28" s="17" t="s">
        <v>225</v>
      </c>
      <c r="C28" s="19" t="s">
        <v>268</v>
      </c>
      <c r="D28" s="20"/>
      <c r="E28" s="19" t="s">
        <v>266</v>
      </c>
      <c r="F28" s="21">
        <v>46272.0</v>
      </c>
      <c r="G28" s="21">
        <v>46277.0</v>
      </c>
      <c r="H28" s="24"/>
      <c r="I28" s="24"/>
      <c r="J28" s="20"/>
      <c r="K28" s="25"/>
      <c r="L28" s="15"/>
      <c r="M28" s="15"/>
      <c r="N28" s="15"/>
      <c r="O28" s="15"/>
      <c r="P28" s="15"/>
      <c r="Q28" s="15"/>
      <c r="R28" s="15"/>
      <c r="S28" s="15"/>
      <c r="T28" s="15"/>
      <c r="U28" s="15"/>
      <c r="V28" s="15"/>
      <c r="W28" s="15"/>
      <c r="X28" s="15"/>
      <c r="Y28" s="15"/>
      <c r="Z28" s="15"/>
    </row>
    <row r="29">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c r="A43" s="60" t="s">
        <v>269</v>
      </c>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c r="A44" s="61" t="s">
        <v>270</v>
      </c>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c r="A45" s="62" t="s">
        <v>271</v>
      </c>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c r="A46" s="63"/>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c r="A47" s="63"/>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c r="A48" s="63"/>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c r="A49" s="63"/>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c r="A50" s="63"/>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c r="A51" s="63"/>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c r="A52" s="63"/>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c r="A53" s="63"/>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c r="A54" s="63"/>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c r="A55" s="63"/>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c r="A56" s="63"/>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c r="A57" s="63"/>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c r="A58" s="63"/>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c r="A59" s="63"/>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c r="A60" s="63"/>
      <c r="B60" s="15"/>
      <c r="C60" s="15"/>
      <c r="E60" s="15"/>
      <c r="F60" s="15"/>
      <c r="G60" s="15"/>
      <c r="H60" s="15"/>
      <c r="I60" s="15"/>
      <c r="J60" s="15"/>
      <c r="K60" s="15"/>
      <c r="L60" s="15"/>
      <c r="M60" s="15"/>
      <c r="N60" s="15"/>
      <c r="O60" s="15"/>
      <c r="P60" s="15"/>
      <c r="Q60" s="15"/>
      <c r="R60" s="15"/>
      <c r="S60" s="15"/>
      <c r="T60" s="15"/>
      <c r="U60" s="15"/>
      <c r="V60" s="15"/>
      <c r="W60" s="15"/>
      <c r="X60" s="15"/>
      <c r="Y60" s="15"/>
      <c r="Z60" s="15"/>
    </row>
    <row r="61">
      <c r="A61" s="63"/>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c r="A62" s="63"/>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c r="A63" s="63"/>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c r="A64" s="63"/>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c r="A65" s="63"/>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c r="A66" s="63"/>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c r="A67" s="63"/>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c r="A68" s="63"/>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c r="A69" s="63"/>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c r="A70" s="63"/>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dataValidations>
    <dataValidation type="list" allowBlank="1" showErrorMessage="1" sqref="C2:C28">
      <formula1>"PMA,SEA,UXA,DSA,All"</formula1>
    </dataValidation>
    <dataValidation type="list" allowBlank="1" showErrorMessage="1" sqref="D2:D28">
      <formula1>"Louis Oktavianus,Agatha Paskaline P.,Ihsan Wardhana Ristiarto,Airin Ristiana,Angel Aurelia,Kamilia Luthfihah,Azizah Syahrunatul Mubaraq,Violin Monica,Muhamad Iqbal Reza,Horasio Nissi Immanuel,Riantama Putra"</formula1>
    </dataValidation>
    <dataValidation type="list" allowBlank="1" showErrorMessage="1" sqref="J2:J28">
      <formula1>"Done,In Progess,Not Started"</formula1>
    </dataValidation>
    <dataValidation type="custom" allowBlank="1" showDropDown="1" sqref="F2:G28">
      <formula1>OR(NOT(ISERROR(DATEVALUE(F2))), AND(ISNUMBER(F2), LEFT(CELL("format", F2))="D"))</formula1>
    </dataValidation>
    <dataValidation type="list" allowBlank="1" showErrorMessage="1" sqref="E2:E28">
      <formula1>"Checkpoint 1,Checkpoint 2,Checkpoint 3"</formula1>
    </dataValidation>
  </dataValidations>
  <hyperlinks>
    <hyperlink r:id="rId1" ref="H6"/>
    <hyperlink r:id="rId2" ref="I6"/>
    <hyperlink r:id="rId3" location="heading=h.v1l707r613yj" ref="K6"/>
    <hyperlink r:id="rId4" ref="I7"/>
    <hyperlink r:id="rId5" ref="H8"/>
    <hyperlink r:id="rId6" ref="I8"/>
    <hyperlink r:id="rId7" ref="H9"/>
    <hyperlink r:id="rId8" ref="H11"/>
    <hyperlink r:id="rId9" ref="H12"/>
    <hyperlink r:id="rId10" ref="H13"/>
    <hyperlink r:id="rId11" ref="H19"/>
    <hyperlink r:id="rId12" ref="A45"/>
  </hyperlinks>
  <drawing r:id="rId13"/>
  <tableParts count="1">
    <tablePart r:id="rId1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26.75"/>
    <col customWidth="1" min="3" max="3" width="37.63"/>
    <col customWidth="1" min="4" max="4" width="84.38"/>
  </cols>
  <sheetData>
    <row r="1" ht="22.5" customHeight="1">
      <c r="A1" s="4" t="s">
        <v>0</v>
      </c>
      <c r="B1" s="4" t="s">
        <v>3</v>
      </c>
      <c r="C1" s="4" t="s">
        <v>4</v>
      </c>
      <c r="D1" s="4" t="s">
        <v>8</v>
      </c>
    </row>
    <row r="2" ht="167.25" customHeight="1">
      <c r="A2" s="7">
        <v>1.0</v>
      </c>
      <c r="B2" s="9" t="s">
        <v>20</v>
      </c>
      <c r="C2" s="18" t="s">
        <v>24</v>
      </c>
      <c r="D2" s="9" t="s">
        <v>39</v>
      </c>
    </row>
    <row r="3" ht="147.0" customHeight="1">
      <c r="A3" s="7">
        <v>2.0</v>
      </c>
      <c r="B3" s="22" t="s">
        <v>42</v>
      </c>
      <c r="C3" s="18" t="s">
        <v>53</v>
      </c>
      <c r="D3" s="9" t="s">
        <v>55</v>
      </c>
    </row>
    <row r="4" ht="137.25" customHeight="1">
      <c r="A4" s="7">
        <v>3.0</v>
      </c>
      <c r="B4" s="9" t="s">
        <v>56</v>
      </c>
      <c r="C4" s="18" t="s">
        <v>57</v>
      </c>
      <c r="D4" s="9" t="s">
        <v>62</v>
      </c>
    </row>
    <row r="5" ht="234.0" customHeight="1">
      <c r="A5" s="7">
        <v>4.0</v>
      </c>
      <c r="B5" s="9" t="s">
        <v>65</v>
      </c>
      <c r="C5" s="18" t="s">
        <v>68</v>
      </c>
      <c r="D5" s="9" t="s">
        <v>74</v>
      </c>
    </row>
    <row r="6" ht="120.75" customHeight="1">
      <c r="A6" s="7">
        <v>5.0</v>
      </c>
      <c r="B6" s="9" t="s">
        <v>76</v>
      </c>
      <c r="C6" s="18" t="s">
        <v>78</v>
      </c>
      <c r="D6" s="9" t="s">
        <v>83</v>
      </c>
    </row>
    <row r="7" ht="22.5" customHeight="1">
      <c r="A7" s="7">
        <v>6.0</v>
      </c>
      <c r="B7" s="9" t="s">
        <v>86</v>
      </c>
      <c r="C7" s="18" t="s">
        <v>87</v>
      </c>
      <c r="D7" s="26" t="s">
        <v>92</v>
      </c>
    </row>
    <row r="8" ht="71.25" customHeight="1">
      <c r="A8" s="7">
        <v>7.0</v>
      </c>
      <c r="B8" s="9" t="s">
        <v>96</v>
      </c>
      <c r="C8" s="18" t="s">
        <v>98</v>
      </c>
      <c r="D8" s="9" t="s">
        <v>103</v>
      </c>
    </row>
    <row r="9" ht="69.75" customHeight="1">
      <c r="A9" s="7">
        <v>8.0</v>
      </c>
      <c r="B9" s="9" t="s">
        <v>106</v>
      </c>
      <c r="C9" s="18" t="s">
        <v>108</v>
      </c>
      <c r="D9" s="9" t="s">
        <v>110</v>
      </c>
    </row>
  </sheetData>
  <dataValidations>
    <dataValidation type="custom" allowBlank="1" showDropDown="1" sqref="A2:A9">
      <formula1>AND(ISNUMBER(A2),(NOT(OR(NOT(ISERROR(DATEVALUE(A2))), AND(ISNUMBER(A2), LEFT(CELL("format", A2))="D")))))</formula1>
    </dataValidation>
  </dataValidations>
  <hyperlinks>
    <hyperlink r:id="rId1" location=":~:text=Robertus%20Belarminus.%20Editor.%20Add%20on%20Google%20Jadikan,terdampak%20akibat%20kebakaran%20hutan%20dan%20lahan%20(karhutla)." ref="C2"/>
    <hyperlink r:id="rId2" ref="B3"/>
    <hyperlink r:id="rId3" ref="C3"/>
    <hyperlink r:id="rId4" ref="C4"/>
    <hyperlink r:id="rId5" ref="C5"/>
    <hyperlink r:id="rId6" ref="C6"/>
    <hyperlink r:id="rId7" ref="C7"/>
    <hyperlink r:id="rId8" ref="D7"/>
    <hyperlink r:id="rId9" ref="C8"/>
    <hyperlink r:id="rId10" ref="C9"/>
  </hyperlinks>
  <drawing r:id="rId11"/>
  <tableParts count="1">
    <tablePart r:id="rId1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34.13"/>
    <col customWidth="1" min="3" max="3" width="21.63"/>
    <col customWidth="1" min="4" max="4" width="51.38"/>
    <col customWidth="1" min="5" max="5" width="58.75"/>
  </cols>
  <sheetData>
    <row r="1">
      <c r="A1" s="1"/>
    </row>
    <row r="2">
      <c r="A2" s="2"/>
    </row>
    <row r="3" ht="22.5" customHeight="1">
      <c r="A3" s="5" t="s">
        <v>0</v>
      </c>
      <c r="B3" s="5" t="s">
        <v>1</v>
      </c>
      <c r="C3" s="5" t="s">
        <v>6</v>
      </c>
      <c r="D3" s="5" t="s">
        <v>10</v>
      </c>
      <c r="E3" s="5" t="s">
        <v>12</v>
      </c>
    </row>
    <row r="4" ht="22.5" customHeight="1">
      <c r="A4" s="8">
        <v>1.0</v>
      </c>
      <c r="B4" s="11" t="s">
        <v>23</v>
      </c>
      <c r="C4" s="11" t="s">
        <v>25</v>
      </c>
      <c r="D4" s="11" t="s">
        <v>27</v>
      </c>
      <c r="E4" s="11" t="s">
        <v>29</v>
      </c>
    </row>
    <row r="5" ht="22.5" customHeight="1">
      <c r="A5" s="8">
        <v>2.0</v>
      </c>
      <c r="B5" s="11" t="s">
        <v>22</v>
      </c>
      <c r="C5" s="11" t="s">
        <v>34</v>
      </c>
      <c r="D5" s="11" t="s">
        <v>36</v>
      </c>
      <c r="E5" s="11" t="s">
        <v>38</v>
      </c>
    </row>
    <row r="6" ht="22.5" customHeight="1">
      <c r="A6" s="8">
        <v>3.0</v>
      </c>
      <c r="B6" s="11" t="s">
        <v>40</v>
      </c>
      <c r="C6" s="11" t="s">
        <v>41</v>
      </c>
      <c r="D6" s="11" t="s">
        <v>43</v>
      </c>
      <c r="E6" s="11" t="s">
        <v>44</v>
      </c>
    </row>
    <row r="7" ht="22.5" customHeight="1">
      <c r="A7" s="8">
        <v>4.0</v>
      </c>
      <c r="B7" s="11" t="s">
        <v>45</v>
      </c>
      <c r="C7" s="11" t="s">
        <v>47</v>
      </c>
      <c r="D7" s="11" t="s">
        <v>48</v>
      </c>
      <c r="E7" s="11" t="s">
        <v>50</v>
      </c>
    </row>
    <row r="8" ht="22.5" customHeight="1">
      <c r="A8" s="8">
        <v>5.0</v>
      </c>
      <c r="B8" s="11" t="s">
        <v>51</v>
      </c>
      <c r="C8" s="11" t="s">
        <v>47</v>
      </c>
      <c r="D8" s="11" t="s">
        <v>52</v>
      </c>
      <c r="E8" s="11" t="s">
        <v>54</v>
      </c>
    </row>
    <row r="9" ht="22.5" customHeight="1">
      <c r="A9" s="8">
        <v>6.0</v>
      </c>
      <c r="B9" s="11" t="s">
        <v>58</v>
      </c>
      <c r="C9" s="11" t="s">
        <v>47</v>
      </c>
      <c r="D9" s="11" t="s">
        <v>59</v>
      </c>
      <c r="E9" s="11" t="s">
        <v>60</v>
      </c>
    </row>
    <row r="10" ht="22.5" customHeight="1">
      <c r="A10" s="8">
        <v>7.0</v>
      </c>
      <c r="B10" s="11" t="s">
        <v>61</v>
      </c>
      <c r="C10" s="11" t="s">
        <v>47</v>
      </c>
      <c r="D10" s="11" t="s">
        <v>64</v>
      </c>
      <c r="E10" s="11" t="s">
        <v>66</v>
      </c>
    </row>
    <row r="11" ht="22.5" customHeight="1">
      <c r="A11" s="8">
        <v>8.0</v>
      </c>
      <c r="B11" s="11" t="s">
        <v>70</v>
      </c>
      <c r="C11" s="11" t="s">
        <v>47</v>
      </c>
      <c r="D11" s="11" t="s">
        <v>72</v>
      </c>
      <c r="E11" s="11" t="s">
        <v>73</v>
      </c>
    </row>
    <row r="12" ht="22.5" customHeight="1">
      <c r="A12" s="8">
        <v>9.0</v>
      </c>
      <c r="B12" s="11" t="s">
        <v>75</v>
      </c>
      <c r="C12" s="11" t="s">
        <v>77</v>
      </c>
      <c r="D12" s="11" t="s">
        <v>79</v>
      </c>
      <c r="E12" s="11" t="s">
        <v>81</v>
      </c>
    </row>
    <row r="13" ht="22.5" customHeight="1">
      <c r="A13" s="8">
        <v>10.0</v>
      </c>
      <c r="B13" s="11" t="s">
        <v>85</v>
      </c>
      <c r="C13" s="11" t="s">
        <v>77</v>
      </c>
      <c r="D13" s="11" t="s">
        <v>88</v>
      </c>
      <c r="E13" s="11" t="s">
        <v>89</v>
      </c>
    </row>
    <row r="14" ht="22.5" customHeight="1">
      <c r="A14" s="8">
        <v>11.0</v>
      </c>
      <c r="B14" s="11" t="s">
        <v>90</v>
      </c>
      <c r="C14" s="11" t="s">
        <v>77</v>
      </c>
      <c r="D14" s="11" t="s">
        <v>91</v>
      </c>
      <c r="E14" s="11" t="s">
        <v>93</v>
      </c>
    </row>
    <row r="15" ht="22.5" customHeight="1">
      <c r="A15" s="8">
        <v>12.0</v>
      </c>
      <c r="B15" s="11" t="s">
        <v>97</v>
      </c>
      <c r="C15" s="11" t="s">
        <v>77</v>
      </c>
      <c r="D15" s="11" t="s">
        <v>100</v>
      </c>
      <c r="E15" s="11" t="s">
        <v>102</v>
      </c>
    </row>
    <row r="19">
      <c r="A19" s="1" t="s">
        <v>104</v>
      </c>
    </row>
    <row r="20">
      <c r="A20" s="27" t="s">
        <v>105</v>
      </c>
    </row>
    <row r="21">
      <c r="A21" s="27" t="s">
        <v>107</v>
      </c>
    </row>
    <row r="27">
      <c r="A27" s="28"/>
    </row>
  </sheetData>
  <dataValidations>
    <dataValidation type="custom" allowBlank="1" showDropDown="1" sqref="A4:A15">
      <formula1>AND(ISNUMBER(A4),(NOT(OR(NOT(ISERROR(DATEVALUE(A4))), AND(ISNUMBER(A4), LEFT(CELL("format", A4))="D")))))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9.75"/>
    <col customWidth="1" min="2" max="2" width="18.5"/>
    <col customWidth="1" min="3" max="3" width="19.13"/>
    <col customWidth="1" min="4" max="4" width="20.25"/>
    <col customWidth="1" min="5" max="5" width="19.38"/>
    <col customWidth="1" min="6" max="6" width="16.63"/>
    <col customWidth="1" min="7" max="7" width="22.5"/>
    <col customWidth="1" min="8" max="8" width="26.5"/>
  </cols>
  <sheetData>
    <row r="1" ht="22.5" customHeight="1">
      <c r="A1" s="6" t="s">
        <v>1</v>
      </c>
      <c r="B1" s="6" t="s">
        <v>7</v>
      </c>
      <c r="C1" s="6" t="s">
        <v>11</v>
      </c>
      <c r="D1" s="6" t="s">
        <v>13</v>
      </c>
      <c r="E1" s="6" t="s">
        <v>14</v>
      </c>
      <c r="F1" s="6" t="s">
        <v>16</v>
      </c>
      <c r="G1" s="6" t="s">
        <v>17</v>
      </c>
      <c r="H1" s="6" t="s">
        <v>19</v>
      </c>
    </row>
    <row r="2" ht="22.5" customHeight="1">
      <c r="A2" s="10" t="s">
        <v>22</v>
      </c>
      <c r="B2" s="12">
        <v>9.0</v>
      </c>
      <c r="C2" s="12">
        <v>3.0</v>
      </c>
      <c r="D2" s="14" t="s">
        <v>32</v>
      </c>
      <c r="E2" s="12">
        <v>1.0</v>
      </c>
      <c r="F2" s="12">
        <v>24.3</v>
      </c>
      <c r="G2" s="14" t="s">
        <v>33</v>
      </c>
      <c r="H2" s="16" t="s">
        <v>34</v>
      </c>
    </row>
    <row r="3" ht="22.5" customHeight="1">
      <c r="A3" s="10" t="s">
        <v>40</v>
      </c>
      <c r="B3" s="12">
        <v>10.0</v>
      </c>
      <c r="C3" s="12">
        <v>3.0</v>
      </c>
      <c r="D3" s="14" t="s">
        <v>46</v>
      </c>
      <c r="E3" s="12">
        <v>1.0</v>
      </c>
      <c r="F3" s="12">
        <v>24.0</v>
      </c>
      <c r="G3" s="14" t="s">
        <v>33</v>
      </c>
      <c r="H3" s="16" t="s">
        <v>41</v>
      </c>
    </row>
    <row r="4" ht="22.5" customHeight="1">
      <c r="A4" s="10" t="s">
        <v>23</v>
      </c>
      <c r="B4" s="12">
        <v>8.0</v>
      </c>
      <c r="C4" s="12">
        <v>3.0</v>
      </c>
      <c r="D4" s="14" t="s">
        <v>46</v>
      </c>
      <c r="E4" s="12">
        <v>1.0</v>
      </c>
      <c r="F4" s="12">
        <v>19.2</v>
      </c>
      <c r="G4" s="14" t="s">
        <v>33</v>
      </c>
      <c r="H4" s="16" t="s">
        <v>25</v>
      </c>
    </row>
    <row r="5" ht="22.5" customHeight="1">
      <c r="A5" s="16" t="s">
        <v>58</v>
      </c>
      <c r="B5" s="12">
        <v>9.0</v>
      </c>
      <c r="C5" s="12">
        <v>2.0</v>
      </c>
      <c r="D5" s="14" t="s">
        <v>32</v>
      </c>
      <c r="E5" s="12">
        <v>0.8</v>
      </c>
      <c r="F5" s="12">
        <v>20.25</v>
      </c>
      <c r="G5" s="14" t="s">
        <v>63</v>
      </c>
      <c r="H5" s="16" t="s">
        <v>47</v>
      </c>
    </row>
    <row r="6" ht="22.5" customHeight="1">
      <c r="A6" s="16" t="s">
        <v>45</v>
      </c>
      <c r="B6" s="12">
        <v>7.0</v>
      </c>
      <c r="C6" s="12">
        <v>2.0</v>
      </c>
      <c r="D6" s="14" t="s">
        <v>46</v>
      </c>
      <c r="E6" s="12">
        <v>1.2</v>
      </c>
      <c r="F6" s="12">
        <v>9.33</v>
      </c>
      <c r="G6" s="14" t="s">
        <v>63</v>
      </c>
      <c r="H6" s="16" t="s">
        <v>47</v>
      </c>
    </row>
    <row r="7" ht="22.5" customHeight="1">
      <c r="A7" s="16" t="s">
        <v>70</v>
      </c>
      <c r="B7" s="12">
        <v>8.0</v>
      </c>
      <c r="C7" s="12">
        <v>1.0</v>
      </c>
      <c r="D7" s="14" t="s">
        <v>32</v>
      </c>
      <c r="E7" s="12">
        <v>0.8</v>
      </c>
      <c r="F7" s="12">
        <v>9.0</v>
      </c>
      <c r="G7" s="14" t="s">
        <v>63</v>
      </c>
      <c r="H7" s="16" t="s">
        <v>47</v>
      </c>
    </row>
    <row r="8" ht="22.5" customHeight="1">
      <c r="A8" s="16" t="s">
        <v>51</v>
      </c>
      <c r="B8" s="12">
        <v>6.0</v>
      </c>
      <c r="C8" s="12">
        <v>2.0</v>
      </c>
      <c r="D8" s="14" t="s">
        <v>84</v>
      </c>
      <c r="E8" s="12">
        <v>1.2</v>
      </c>
      <c r="F8" s="12">
        <v>7.0</v>
      </c>
      <c r="G8" s="14" t="s">
        <v>63</v>
      </c>
      <c r="H8" s="16" t="s">
        <v>47</v>
      </c>
    </row>
    <row r="9" ht="22.5" customHeight="1">
      <c r="A9" s="16" t="s">
        <v>61</v>
      </c>
      <c r="B9" s="12">
        <v>5.0</v>
      </c>
      <c r="C9" s="12">
        <v>1.0</v>
      </c>
      <c r="D9" s="14" t="s">
        <v>46</v>
      </c>
      <c r="E9" s="12">
        <v>1.0</v>
      </c>
      <c r="F9" s="12">
        <v>4.0</v>
      </c>
      <c r="G9" s="14" t="s">
        <v>94</v>
      </c>
      <c r="H9" s="16" t="s">
        <v>47</v>
      </c>
    </row>
    <row r="10" ht="22.5" customHeight="1">
      <c r="A10" s="16" t="s">
        <v>99</v>
      </c>
      <c r="B10" s="12">
        <v>4.0</v>
      </c>
      <c r="C10" s="12">
        <v>2.0</v>
      </c>
      <c r="D10" s="14" t="s">
        <v>46</v>
      </c>
      <c r="E10" s="12">
        <v>1.8</v>
      </c>
      <c r="F10" s="12">
        <v>3.56</v>
      </c>
      <c r="G10" s="14" t="s">
        <v>94</v>
      </c>
      <c r="H10" s="16" t="s">
        <v>77</v>
      </c>
    </row>
    <row r="11" ht="22.5" customHeight="1">
      <c r="A11" s="16" t="s">
        <v>75</v>
      </c>
      <c r="B11" s="12">
        <v>4.0</v>
      </c>
      <c r="C11" s="12">
        <v>1.0</v>
      </c>
      <c r="D11" s="14" t="s">
        <v>46</v>
      </c>
      <c r="E11" s="12">
        <v>1.0</v>
      </c>
      <c r="F11" s="12">
        <v>3.2</v>
      </c>
      <c r="G11" s="14" t="s">
        <v>94</v>
      </c>
      <c r="H11" s="16" t="s">
        <v>77</v>
      </c>
    </row>
    <row r="12" ht="22.5" customHeight="1">
      <c r="A12" s="16" t="s">
        <v>85</v>
      </c>
      <c r="B12" s="12">
        <v>2.0</v>
      </c>
      <c r="C12" s="12">
        <v>3.0</v>
      </c>
      <c r="D12" s="14" t="s">
        <v>32</v>
      </c>
      <c r="E12" s="12">
        <v>2.0</v>
      </c>
      <c r="F12" s="12">
        <v>2.7</v>
      </c>
      <c r="G12" s="14" t="s">
        <v>94</v>
      </c>
      <c r="H12" s="16" t="s">
        <v>77</v>
      </c>
    </row>
    <row r="13" ht="22.5" customHeight="1">
      <c r="A13" s="16" t="s">
        <v>97</v>
      </c>
      <c r="B13" s="12">
        <v>3.0</v>
      </c>
      <c r="C13" s="12">
        <v>1.0</v>
      </c>
      <c r="D13" s="14" t="s">
        <v>46</v>
      </c>
      <c r="E13" s="12">
        <v>1.5</v>
      </c>
      <c r="F13" s="12">
        <v>1.6</v>
      </c>
      <c r="G13" s="14" t="s">
        <v>94</v>
      </c>
      <c r="H13" s="16" t="s">
        <v>77</v>
      </c>
    </row>
    <row r="17">
      <c r="A17" s="31" t="s">
        <v>116</v>
      </c>
    </row>
    <row r="18">
      <c r="A18" s="33" t="s">
        <v>117</v>
      </c>
    </row>
    <row r="19">
      <c r="A19" s="33" t="s">
        <v>119</v>
      </c>
    </row>
    <row r="20">
      <c r="A20" s="33" t="s">
        <v>120</v>
      </c>
    </row>
  </sheetData>
  <dataValidations>
    <dataValidation type="custom" allowBlank="1" showDropDown="1" sqref="B2:C13 E2:F13">
      <formula1>AND(ISNUMBER(B2),(NOT(OR(NOT(ISERROR(DATEVALUE(B2))), AND(ISNUMBER(B2), LEFT(CELL("format", B2))="D")))))</formula1>
    </dataValidation>
    <dataValidation type="list" allowBlank="1" showDropDown="1" showErrorMessage="1" sqref="G2:G13">
      <formula1>"Must Have,Should Have,Could Have"</formula1>
    </dataValidation>
    <dataValidation type="list" allowBlank="1" showDropDown="1" showErrorMessage="1" sqref="D2:D13">
      <formula1>"90% (0.9),80% (0.8),70% (0.7)"</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7.5"/>
    <col customWidth="1" min="2" max="2" width="21.88"/>
    <col customWidth="1" min="12" max="12" width="17.5"/>
    <col customWidth="1" min="13" max="13" width="28.25"/>
    <col customWidth="1" min="14" max="14" width="50.63"/>
  </cols>
  <sheetData>
    <row r="3">
      <c r="L3" s="37" t="s">
        <v>125</v>
      </c>
    </row>
    <row r="4">
      <c r="A4" s="38" t="s">
        <v>126</v>
      </c>
      <c r="L4" s="39" t="s">
        <v>127</v>
      </c>
      <c r="M4" s="39" t="s">
        <v>129</v>
      </c>
      <c r="N4" s="39" t="s">
        <v>130</v>
      </c>
    </row>
    <row r="5">
      <c r="L5" s="40" t="s">
        <v>131</v>
      </c>
      <c r="M5" s="40" t="s">
        <v>132</v>
      </c>
      <c r="N5" s="19" t="s">
        <v>133</v>
      </c>
    </row>
    <row r="6">
      <c r="L6" s="40" t="s">
        <v>134</v>
      </c>
      <c r="M6" s="40" t="s">
        <v>135</v>
      </c>
      <c r="N6" s="19" t="s">
        <v>136</v>
      </c>
    </row>
    <row r="7">
      <c r="A7" s="41" t="s">
        <v>137</v>
      </c>
      <c r="D7" s="38" t="s">
        <v>138</v>
      </c>
      <c r="E7" s="38" t="s">
        <v>139</v>
      </c>
      <c r="F7" s="38" t="s">
        <v>140</v>
      </c>
      <c r="G7" s="38" t="s">
        <v>141</v>
      </c>
      <c r="H7" s="38">
        <v>222222.0</v>
      </c>
      <c r="L7" s="40" t="s">
        <v>142</v>
      </c>
      <c r="M7" s="40" t="s">
        <v>143</v>
      </c>
      <c r="N7" s="19" t="s">
        <v>144</v>
      </c>
    </row>
    <row r="8">
      <c r="L8" s="40" t="s">
        <v>145</v>
      </c>
      <c r="M8" s="40" t="s">
        <v>146</v>
      </c>
      <c r="N8" s="19" t="s">
        <v>147</v>
      </c>
    </row>
    <row r="9">
      <c r="L9" s="40" t="s">
        <v>148</v>
      </c>
      <c r="M9" s="40" t="s">
        <v>149</v>
      </c>
      <c r="N9" s="19" t="s">
        <v>150</v>
      </c>
    </row>
    <row r="10">
      <c r="A10" s="42" t="s">
        <v>152</v>
      </c>
      <c r="B10" s="43" t="s">
        <v>153</v>
      </c>
      <c r="D10" s="38" t="s">
        <v>154</v>
      </c>
    </row>
    <row r="14">
      <c r="A14" s="42" t="s">
        <v>155</v>
      </c>
      <c r="D14" s="38" t="s">
        <v>156</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37.63"/>
    <col customWidth="1" min="4" max="4" width="76.63"/>
  </cols>
  <sheetData>
    <row r="1">
      <c r="A1" s="28"/>
    </row>
    <row r="3" ht="22.5" customHeight="1">
      <c r="A3" s="44" t="s">
        <v>159</v>
      </c>
      <c r="B3" s="44" t="s">
        <v>160</v>
      </c>
      <c r="C3" s="44" t="s">
        <v>161</v>
      </c>
      <c r="D3" s="44" t="s">
        <v>162</v>
      </c>
    </row>
    <row r="4" ht="22.5" customHeight="1">
      <c r="A4" s="46" t="s">
        <v>165</v>
      </c>
      <c r="B4" s="46" t="s">
        <v>167</v>
      </c>
      <c r="C4" s="46" t="s">
        <v>168</v>
      </c>
      <c r="D4" s="46" t="s">
        <v>170</v>
      </c>
    </row>
    <row r="5" ht="22.5" customHeight="1">
      <c r="A5" s="46" t="s">
        <v>171</v>
      </c>
      <c r="B5" s="46" t="s">
        <v>172</v>
      </c>
      <c r="C5" s="46" t="s">
        <v>174</v>
      </c>
      <c r="D5" s="46" t="s">
        <v>176</v>
      </c>
    </row>
    <row r="6" ht="22.5" customHeight="1">
      <c r="A6" s="46" t="s">
        <v>178</v>
      </c>
      <c r="B6" s="46" t="s">
        <v>167</v>
      </c>
      <c r="C6" s="46" t="s">
        <v>179</v>
      </c>
      <c r="D6" s="46" t="s">
        <v>180</v>
      </c>
    </row>
    <row r="7" ht="22.5" customHeight="1">
      <c r="A7" s="46" t="s">
        <v>182</v>
      </c>
      <c r="B7" s="46" t="s">
        <v>184</v>
      </c>
      <c r="C7" s="46" t="s">
        <v>186</v>
      </c>
      <c r="D7" s="46" t="s">
        <v>187</v>
      </c>
    </row>
    <row r="8" ht="22.5" customHeight="1">
      <c r="A8" s="46" t="s">
        <v>189</v>
      </c>
      <c r="B8" s="46" t="s">
        <v>190</v>
      </c>
      <c r="C8" s="46" t="s">
        <v>192</v>
      </c>
      <c r="D8" s="46" t="s">
        <v>194</v>
      </c>
    </row>
    <row r="9" ht="22.5" customHeight="1">
      <c r="A9" s="49" t="s">
        <v>196</v>
      </c>
      <c r="B9" s="46" t="s">
        <v>203</v>
      </c>
      <c r="C9" s="46" t="s">
        <v>206</v>
      </c>
      <c r="D9" s="46" t="s">
        <v>209</v>
      </c>
    </row>
    <row r="10">
      <c r="A10" s="50"/>
    </row>
    <row r="11">
      <c r="A11" s="51"/>
      <c r="B11" s="51"/>
      <c r="C11" s="51"/>
      <c r="D11" s="51"/>
    </row>
    <row r="12">
      <c r="A12" s="51"/>
      <c r="B12" s="51"/>
      <c r="C12" s="51"/>
      <c r="D12" s="51"/>
    </row>
    <row r="13">
      <c r="A13" s="51"/>
      <c r="B13" s="51"/>
      <c r="C13" s="51"/>
      <c r="D13" s="51"/>
    </row>
    <row r="14">
      <c r="A14" s="51"/>
      <c r="B14" s="51"/>
      <c r="C14" s="51"/>
      <c r="D14" s="51"/>
    </row>
  </sheetData>
  <hyperlinks>
    <hyperlink r:id="rId1" ref="A9"/>
  </hyperlinks>
  <drawing r:id="rId2"/>
  <tableParts count="1">
    <tablePart r:id="rId4"/>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38"/>
    <col customWidth="1" min="2" max="2" width="31.0"/>
    <col customWidth="1" min="3" max="3" width="53.13"/>
    <col customWidth="1" min="4" max="4" width="57.13"/>
  </cols>
  <sheetData>
    <row r="1" ht="22.5" customHeight="1">
      <c r="A1" s="45" t="s">
        <v>0</v>
      </c>
      <c r="B1" s="45" t="s">
        <v>164</v>
      </c>
      <c r="C1" s="45" t="s">
        <v>166</v>
      </c>
      <c r="D1" s="45" t="s">
        <v>169</v>
      </c>
    </row>
    <row r="2" ht="22.5" customHeight="1">
      <c r="A2" s="47">
        <v>1.0</v>
      </c>
      <c r="B2" s="48" t="s">
        <v>173</v>
      </c>
      <c r="C2" s="48" t="s">
        <v>175</v>
      </c>
      <c r="D2" s="48" t="s">
        <v>177</v>
      </c>
    </row>
    <row r="3" ht="22.5" customHeight="1">
      <c r="A3" s="47">
        <v>2.0</v>
      </c>
      <c r="B3" s="48" t="s">
        <v>181</v>
      </c>
      <c r="C3" s="48" t="s">
        <v>183</v>
      </c>
      <c r="D3" s="48" t="s">
        <v>185</v>
      </c>
    </row>
    <row r="4" ht="22.5" customHeight="1">
      <c r="A4" s="47">
        <v>3.0</v>
      </c>
      <c r="B4" s="48" t="s">
        <v>45</v>
      </c>
      <c r="C4" s="48" t="s">
        <v>191</v>
      </c>
      <c r="D4" s="48" t="s">
        <v>193</v>
      </c>
    </row>
    <row r="5" ht="22.5" customHeight="1">
      <c r="A5" s="47">
        <v>4.0</v>
      </c>
      <c r="B5" s="48" t="s">
        <v>195</v>
      </c>
      <c r="C5" s="48" t="s">
        <v>197</v>
      </c>
      <c r="D5" s="48" t="s">
        <v>198</v>
      </c>
    </row>
    <row r="6" ht="22.5" customHeight="1">
      <c r="A6" s="47">
        <v>5.0</v>
      </c>
      <c r="B6" s="48" t="s">
        <v>51</v>
      </c>
      <c r="C6" s="48" t="s">
        <v>199</v>
      </c>
      <c r="D6" s="48" t="s">
        <v>200</v>
      </c>
    </row>
    <row r="7" ht="22.5" customHeight="1">
      <c r="A7" s="47">
        <v>6.0</v>
      </c>
      <c r="B7" s="48" t="s">
        <v>70</v>
      </c>
      <c r="C7" s="48" t="s">
        <v>201</v>
      </c>
      <c r="D7" s="48" t="s">
        <v>202</v>
      </c>
    </row>
    <row r="8" ht="22.5" customHeight="1">
      <c r="A8" s="47">
        <v>7.0</v>
      </c>
      <c r="B8" s="48" t="s">
        <v>204</v>
      </c>
      <c r="C8" s="48" t="s">
        <v>205</v>
      </c>
      <c r="D8" s="48" t="s">
        <v>208</v>
      </c>
    </row>
    <row r="9" ht="22.5" customHeight="1">
      <c r="A9" s="47">
        <v>8.0</v>
      </c>
      <c r="B9" s="48" t="s">
        <v>210</v>
      </c>
      <c r="C9" s="48" t="s">
        <v>211</v>
      </c>
      <c r="D9" s="48" t="s">
        <v>212</v>
      </c>
    </row>
    <row r="10" ht="22.5" customHeight="1">
      <c r="A10" s="47">
        <v>9.0</v>
      </c>
      <c r="B10" s="48" t="s">
        <v>61</v>
      </c>
      <c r="C10" s="48" t="s">
        <v>216</v>
      </c>
      <c r="D10" s="48" t="s">
        <v>218</v>
      </c>
    </row>
    <row r="11" ht="22.5" customHeight="1">
      <c r="A11" s="47">
        <v>10.0</v>
      </c>
      <c r="B11" s="48" t="s">
        <v>75</v>
      </c>
      <c r="C11" s="48" t="s">
        <v>230</v>
      </c>
      <c r="D11" s="48" t="s">
        <v>233</v>
      </c>
    </row>
    <row r="16">
      <c r="A16" s="1"/>
    </row>
    <row r="17">
      <c r="A17" s="2"/>
    </row>
    <row r="18">
      <c r="A18" s="1"/>
    </row>
    <row r="19">
      <c r="A19" s="2"/>
    </row>
    <row r="20">
      <c r="A20" s="1"/>
    </row>
    <row r="21">
      <c r="A21" s="2"/>
    </row>
    <row r="22">
      <c r="A22" s="1"/>
    </row>
  </sheetData>
  <dataValidations>
    <dataValidation type="custom" allowBlank="1" showDropDown="1" sqref="A2:A11">
      <formula1>AND(ISNUMBER(A2),(NOT(OR(NOT(ISERROR(DATEVALUE(A2))), AND(ISNUMBER(A2), LEFT(CELL("format", A2))="D")))))</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25.63"/>
    <col customWidth="1" min="13" max="13" width="18.38"/>
    <col customWidth="1" min="16" max="16" width="17.0"/>
  </cols>
  <sheetData>
    <row r="5">
      <c r="J5" s="38" t="s">
        <v>69</v>
      </c>
      <c r="M5" s="38" t="s">
        <v>37</v>
      </c>
      <c r="P5" s="38" t="s">
        <v>214</v>
      </c>
    </row>
    <row r="6">
      <c r="J6" s="52" t="s">
        <v>215</v>
      </c>
      <c r="M6" s="38" t="s">
        <v>188</v>
      </c>
      <c r="P6" s="38" t="s">
        <v>217</v>
      </c>
    </row>
    <row r="7">
      <c r="J7" s="38" t="s">
        <v>219</v>
      </c>
      <c r="M7" s="38" t="s">
        <v>220</v>
      </c>
      <c r="P7" s="38" t="s">
        <v>221</v>
      </c>
    </row>
    <row r="8">
      <c r="J8" s="38" t="s">
        <v>222</v>
      </c>
      <c r="M8" s="38" t="s">
        <v>223</v>
      </c>
      <c r="P8" s="38" t="s">
        <v>224</v>
      </c>
    </row>
    <row r="9">
      <c r="H9" s="38" t="s">
        <v>112</v>
      </c>
      <c r="J9" s="38" t="s">
        <v>225</v>
      </c>
      <c r="M9" s="38" t="s">
        <v>226</v>
      </c>
      <c r="P9" s="38" t="s">
        <v>227</v>
      </c>
    </row>
    <row r="10">
      <c r="H10" s="38" t="s">
        <v>228</v>
      </c>
      <c r="M10" s="38" t="s">
        <v>229</v>
      </c>
      <c r="P10" s="38" t="s">
        <v>231</v>
      </c>
    </row>
    <row r="11">
      <c r="H11" s="38" t="s">
        <v>232</v>
      </c>
      <c r="M11" s="38" t="s">
        <v>234</v>
      </c>
      <c r="P11" s="38" t="s">
        <v>235</v>
      </c>
    </row>
    <row r="12">
      <c r="H12" s="38" t="s">
        <v>236</v>
      </c>
      <c r="M12" s="38" t="s">
        <v>237</v>
      </c>
      <c r="P12" s="38" t="s">
        <v>238</v>
      </c>
    </row>
    <row r="13">
      <c r="H13" s="38" t="s">
        <v>239</v>
      </c>
      <c r="M13" s="38" t="s">
        <v>240</v>
      </c>
    </row>
    <row r="14">
      <c r="H14" s="38" t="s">
        <v>241</v>
      </c>
      <c r="M14" s="38" t="s">
        <v>242</v>
      </c>
    </row>
    <row r="15">
      <c r="H15" s="38" t="s">
        <v>243</v>
      </c>
      <c r="M15" s="38" t="s">
        <v>244</v>
      </c>
    </row>
    <row r="16">
      <c r="H16" s="38" t="s">
        <v>245</v>
      </c>
      <c r="M16" s="38" t="s">
        <v>246</v>
      </c>
    </row>
    <row r="17">
      <c r="H17" s="38" t="s">
        <v>247</v>
      </c>
      <c r="M17" s="38" t="s">
        <v>248</v>
      </c>
    </row>
    <row r="18">
      <c r="M18" s="38" t="s">
        <v>225</v>
      </c>
    </row>
  </sheetData>
  <drawing r:id="rId1"/>
</worksheet>
</file>